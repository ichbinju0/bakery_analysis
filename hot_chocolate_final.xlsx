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hal\Desktop\Programming\operation\"/>
    </mc:Choice>
  </mc:AlternateContent>
  <xr:revisionPtr revIDLastSave="0" documentId="13_ncr:1_{09124ACC-7C9F-453A-94BB-0C9D29E503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L8" i="1"/>
  <c r="L2" i="1"/>
  <c r="E182" i="1"/>
  <c r="G3" i="1"/>
  <c r="F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G4" i="1"/>
  <c r="F4" i="1"/>
  <c r="F5" i="1" s="1"/>
  <c r="G5" i="1" s="1"/>
  <c r="F6" i="1" s="1"/>
  <c r="H3" i="1"/>
  <c r="H2" i="1"/>
  <c r="F2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3" i="1"/>
  <c r="E2" i="1"/>
  <c r="L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2" i="1"/>
  <c r="G6" i="1" l="1"/>
  <c r="F7" i="1"/>
  <c r="G7" i="1" l="1"/>
  <c r="F8" i="1"/>
  <c r="G8" i="1" l="1"/>
  <c r="F9" i="1"/>
  <c r="G9" i="1" l="1"/>
  <c r="F10" i="1"/>
  <c r="G10" i="1" l="1"/>
  <c r="F11" i="1"/>
  <c r="G11" i="1" l="1"/>
  <c r="F12" i="1" s="1"/>
  <c r="G12" i="1" l="1"/>
  <c r="F13" i="1"/>
  <c r="G13" i="1" l="1"/>
  <c r="F14" i="1" s="1"/>
  <c r="G14" i="1" l="1"/>
  <c r="F15" i="1"/>
  <c r="G15" i="1" l="1"/>
  <c r="F16" i="1"/>
  <c r="G16" i="1" l="1"/>
  <c r="F17" i="1"/>
  <c r="G17" i="1" l="1"/>
  <c r="F18" i="1"/>
  <c r="G18" i="1" l="1"/>
  <c r="F19" i="1"/>
  <c r="G19" i="1" l="1"/>
  <c r="F20" i="1" s="1"/>
  <c r="G20" i="1" l="1"/>
  <c r="F21" i="1" s="1"/>
  <c r="G21" i="1" l="1"/>
  <c r="F22" i="1" s="1"/>
  <c r="G22" i="1" l="1"/>
  <c r="F23" i="1"/>
  <c r="G23" i="1" l="1"/>
  <c r="F24" i="1"/>
  <c r="G24" i="1" l="1"/>
  <c r="F25" i="1"/>
  <c r="G25" i="1" l="1"/>
  <c r="F26" i="1"/>
  <c r="G26" i="1" l="1"/>
  <c r="F27" i="1" s="1"/>
  <c r="G27" i="1" l="1"/>
  <c r="F28" i="1" s="1"/>
  <c r="G28" i="1" l="1"/>
  <c r="F29" i="1" s="1"/>
  <c r="G29" i="1" l="1"/>
  <c r="F30" i="1" s="1"/>
  <c r="G30" i="1" l="1"/>
  <c r="F31" i="1" s="1"/>
  <c r="G31" i="1" l="1"/>
  <c r="F32" i="1" s="1"/>
  <c r="G32" i="1" l="1"/>
  <c r="F33" i="1"/>
  <c r="G33" i="1" l="1"/>
  <c r="F34" i="1"/>
  <c r="G34" i="1" l="1"/>
  <c r="F35" i="1" s="1"/>
  <c r="G35" i="1" l="1"/>
  <c r="F36" i="1" s="1"/>
  <c r="G36" i="1" l="1"/>
  <c r="F37" i="1" s="1"/>
  <c r="G37" i="1" l="1"/>
  <c r="F38" i="1" s="1"/>
  <c r="G38" i="1" l="1"/>
  <c r="F39" i="1"/>
  <c r="G39" i="1" l="1"/>
  <c r="F40" i="1"/>
  <c r="G40" i="1" l="1"/>
  <c r="F41" i="1"/>
  <c r="G41" i="1" l="1"/>
  <c r="F42" i="1"/>
  <c r="G42" i="1" l="1"/>
  <c r="F43" i="1" s="1"/>
  <c r="G43" i="1" l="1"/>
  <c r="F44" i="1" s="1"/>
  <c r="G44" i="1" l="1"/>
  <c r="F45" i="1"/>
  <c r="G45" i="1" l="1"/>
  <c r="F46" i="1"/>
  <c r="G46" i="1" l="1"/>
  <c r="F47" i="1"/>
  <c r="G47" i="1" l="1"/>
  <c r="F48" i="1"/>
  <c r="G48" i="1" l="1"/>
  <c r="F49" i="1"/>
  <c r="G49" i="1" l="1"/>
  <c r="F50" i="1" s="1"/>
  <c r="G50" i="1" l="1"/>
  <c r="F51" i="1" s="1"/>
  <c r="G51" i="1" l="1"/>
  <c r="F52" i="1" s="1"/>
  <c r="G52" i="1" l="1"/>
  <c r="F53" i="1"/>
  <c r="G53" i="1" l="1"/>
  <c r="F54" i="1"/>
  <c r="G54" i="1" l="1"/>
  <c r="F55" i="1"/>
  <c r="G55" i="1" l="1"/>
  <c r="F56" i="1" s="1"/>
  <c r="G56" i="1" l="1"/>
  <c r="F57" i="1"/>
  <c r="G57" i="1" l="1"/>
  <c r="F58" i="1"/>
  <c r="G58" i="1" l="1"/>
  <c r="F59" i="1"/>
  <c r="G59" i="1" l="1"/>
  <c r="F60" i="1"/>
  <c r="G60" i="1" l="1"/>
  <c r="F61" i="1"/>
  <c r="G61" i="1" l="1"/>
  <c r="F62" i="1"/>
  <c r="G62" i="1" l="1"/>
  <c r="F63" i="1"/>
  <c r="G63" i="1" l="1"/>
  <c r="F64" i="1"/>
  <c r="G64" i="1" l="1"/>
  <c r="F65" i="1"/>
  <c r="G65" i="1" l="1"/>
  <c r="F66" i="1"/>
  <c r="G66" i="1" l="1"/>
  <c r="F67" i="1"/>
  <c r="G67" i="1" l="1"/>
  <c r="F68" i="1"/>
  <c r="G68" i="1" l="1"/>
  <c r="F69" i="1"/>
  <c r="G69" i="1" l="1"/>
  <c r="F70" i="1"/>
  <c r="G70" i="1" l="1"/>
  <c r="F71" i="1"/>
  <c r="G71" i="1" l="1"/>
  <c r="F72" i="1"/>
  <c r="G72" i="1" l="1"/>
  <c r="F73" i="1"/>
  <c r="G73" i="1" l="1"/>
  <c r="F74" i="1"/>
  <c r="G74" i="1" l="1"/>
  <c r="F75" i="1"/>
  <c r="G75" i="1" l="1"/>
  <c r="F76" i="1"/>
  <c r="G76" i="1" l="1"/>
  <c r="F77" i="1"/>
  <c r="G77" i="1" l="1"/>
  <c r="F78" i="1"/>
  <c r="G78" i="1" l="1"/>
  <c r="F79" i="1"/>
  <c r="G79" i="1" l="1"/>
  <c r="F80" i="1"/>
  <c r="G80" i="1" l="1"/>
  <c r="F81" i="1"/>
  <c r="G81" i="1" l="1"/>
  <c r="F82" i="1"/>
  <c r="G82" i="1" l="1"/>
  <c r="F83" i="1" s="1"/>
  <c r="G83" i="1" l="1"/>
  <c r="F84" i="1"/>
  <c r="G84" i="1" l="1"/>
  <c r="F85" i="1"/>
  <c r="G85" i="1" l="1"/>
  <c r="F86" i="1"/>
  <c r="G86" i="1" l="1"/>
  <c r="F87" i="1"/>
  <c r="G87" i="1" l="1"/>
  <c r="F88" i="1" s="1"/>
  <c r="G88" i="1" l="1"/>
  <c r="F89" i="1"/>
  <c r="G89" i="1" l="1"/>
  <c r="F90" i="1" s="1"/>
  <c r="G90" i="1" l="1"/>
  <c r="F91" i="1"/>
  <c r="G91" i="1" l="1"/>
  <c r="F92" i="1"/>
  <c r="G92" i="1" l="1"/>
  <c r="F93" i="1"/>
  <c r="G93" i="1" l="1"/>
  <c r="F94" i="1"/>
  <c r="G94" i="1" l="1"/>
  <c r="F95" i="1"/>
  <c r="G95" i="1" l="1"/>
  <c r="F96" i="1"/>
  <c r="G96" i="1" l="1"/>
  <c r="F97" i="1"/>
  <c r="G97" i="1" l="1"/>
  <c r="F98" i="1"/>
  <c r="G98" i="1" l="1"/>
  <c r="F99" i="1"/>
  <c r="G99" i="1" l="1"/>
  <c r="F100" i="1" s="1"/>
  <c r="G100" i="1" l="1"/>
  <c r="F101" i="1"/>
  <c r="G101" i="1" l="1"/>
  <c r="F102" i="1"/>
  <c r="G102" i="1" l="1"/>
  <c r="F103" i="1"/>
  <c r="G103" i="1" l="1"/>
  <c r="F104" i="1"/>
  <c r="G104" i="1" l="1"/>
  <c r="F105" i="1" s="1"/>
  <c r="G105" i="1" l="1"/>
  <c r="F106" i="1"/>
  <c r="G106" i="1" l="1"/>
  <c r="F107" i="1"/>
  <c r="G107" i="1" l="1"/>
  <c r="F108" i="1"/>
  <c r="G108" i="1" l="1"/>
  <c r="F109" i="1"/>
  <c r="G109" i="1" l="1"/>
  <c r="F110" i="1"/>
  <c r="G110" i="1" l="1"/>
  <c r="F111" i="1"/>
  <c r="G111" i="1" l="1"/>
  <c r="F112" i="1"/>
  <c r="G112" i="1" l="1"/>
  <c r="F113" i="1"/>
  <c r="G113" i="1" l="1"/>
  <c r="F114" i="1"/>
  <c r="G114" i="1" l="1"/>
  <c r="F115" i="1"/>
  <c r="G115" i="1" l="1"/>
  <c r="F116" i="1" s="1"/>
  <c r="G116" i="1" l="1"/>
  <c r="F117" i="1"/>
  <c r="G117" i="1" l="1"/>
  <c r="F118" i="1" s="1"/>
  <c r="G118" i="1" l="1"/>
  <c r="F119" i="1"/>
  <c r="G119" i="1" l="1"/>
  <c r="F120" i="1" s="1"/>
  <c r="G120" i="1" l="1"/>
  <c r="F121" i="1" s="1"/>
  <c r="G121" i="1" l="1"/>
  <c r="F122" i="1"/>
  <c r="G122" i="1" l="1"/>
  <c r="F123" i="1" s="1"/>
  <c r="G123" i="1" l="1"/>
  <c r="F124" i="1" s="1"/>
  <c r="G124" i="1" l="1"/>
  <c r="F125" i="1"/>
  <c r="G125" i="1" l="1"/>
  <c r="F126" i="1"/>
  <c r="G126" i="1" l="1"/>
  <c r="F127" i="1" s="1"/>
  <c r="G127" i="1" l="1"/>
  <c r="F128" i="1" s="1"/>
  <c r="G128" i="1" l="1"/>
  <c r="F129" i="1" s="1"/>
  <c r="G129" i="1" l="1"/>
  <c r="F130" i="1" s="1"/>
  <c r="G130" i="1" l="1"/>
  <c r="F131" i="1"/>
  <c r="G131" i="1" l="1"/>
  <c r="F132" i="1"/>
  <c r="G132" i="1" l="1"/>
  <c r="F133" i="1" s="1"/>
  <c r="G133" i="1" l="1"/>
  <c r="F134" i="1"/>
  <c r="G134" i="1" l="1"/>
  <c r="F135" i="1"/>
  <c r="G135" i="1" l="1"/>
  <c r="F136" i="1" s="1"/>
  <c r="G136" i="1" l="1"/>
  <c r="F137" i="1" s="1"/>
  <c r="G137" i="1" l="1"/>
  <c r="F138" i="1"/>
  <c r="G138" i="1" l="1"/>
  <c r="F139" i="1" s="1"/>
  <c r="G139" i="1" l="1"/>
  <c r="F140" i="1"/>
  <c r="G140" i="1" l="1"/>
  <c r="F141" i="1"/>
  <c r="G141" i="1" l="1"/>
  <c r="F142" i="1" s="1"/>
  <c r="G142" i="1" l="1"/>
  <c r="F143" i="1"/>
  <c r="G143" i="1" l="1"/>
  <c r="F144" i="1"/>
  <c r="G144" i="1" l="1"/>
  <c r="F145" i="1"/>
  <c r="G145" i="1" l="1"/>
  <c r="F146" i="1"/>
  <c r="G146" i="1" l="1"/>
  <c r="F147" i="1" s="1"/>
  <c r="G147" i="1" l="1"/>
  <c r="F148" i="1" s="1"/>
  <c r="G148" i="1" l="1"/>
  <c r="F149" i="1" s="1"/>
  <c r="G149" i="1" l="1"/>
  <c r="F150" i="1"/>
  <c r="G150" i="1" l="1"/>
  <c r="F151" i="1"/>
  <c r="G151" i="1" l="1"/>
  <c r="F152" i="1"/>
  <c r="G152" i="1" l="1"/>
  <c r="F153" i="1"/>
  <c r="G153" i="1" l="1"/>
  <c r="F154" i="1" s="1"/>
  <c r="G154" i="1" l="1"/>
  <c r="F155" i="1"/>
  <c r="G155" i="1" l="1"/>
  <c r="F156" i="1" s="1"/>
  <c r="G156" i="1" l="1"/>
  <c r="F157" i="1" s="1"/>
  <c r="G157" i="1" l="1"/>
  <c r="F158" i="1" s="1"/>
  <c r="G158" i="1" l="1"/>
  <c r="F159" i="1" s="1"/>
  <c r="G159" i="1" l="1"/>
  <c r="F160" i="1" s="1"/>
  <c r="G160" i="1" l="1"/>
  <c r="F161" i="1" s="1"/>
  <c r="G161" i="1" l="1"/>
  <c r="F162" i="1" s="1"/>
  <c r="G162" i="1" l="1"/>
  <c r="F163" i="1" s="1"/>
  <c r="G163" i="1" l="1"/>
  <c r="F164" i="1" s="1"/>
  <c r="G164" i="1" l="1"/>
  <c r="F165" i="1" s="1"/>
  <c r="G165" i="1" l="1"/>
  <c r="F166" i="1" s="1"/>
  <c r="G166" i="1" l="1"/>
  <c r="F167" i="1" s="1"/>
  <c r="G167" i="1" l="1"/>
  <c r="F168" i="1"/>
  <c r="G168" i="1" l="1"/>
  <c r="F169" i="1"/>
  <c r="G169" i="1" l="1"/>
  <c r="F170" i="1"/>
  <c r="G170" i="1" l="1"/>
  <c r="F171" i="1"/>
  <c r="G171" i="1" l="1"/>
  <c r="F172" i="1" s="1"/>
  <c r="G172" i="1" l="1"/>
  <c r="F173" i="1" s="1"/>
  <c r="G173" i="1" l="1"/>
  <c r="F174" i="1"/>
  <c r="G174" i="1" l="1"/>
  <c r="F175" i="1" s="1"/>
  <c r="G175" i="1" l="1"/>
  <c r="F176" i="1"/>
  <c r="G176" i="1" l="1"/>
  <c r="F177" i="1"/>
  <c r="G177" i="1" l="1"/>
  <c r="F178" i="1" s="1"/>
  <c r="G178" i="1" l="1"/>
  <c r="F179" i="1"/>
  <c r="G179" i="1" l="1"/>
  <c r="F180" i="1"/>
  <c r="G180" i="1" l="1"/>
  <c r="F181" i="1" s="1"/>
  <c r="G181" i="1" l="1"/>
  <c r="F182" i="1"/>
  <c r="G182" i="1" l="1"/>
</calcChain>
</file>

<file path=xl/sharedStrings.xml><?xml version="1.0" encoding="utf-8"?>
<sst xmlns="http://schemas.openxmlformats.org/spreadsheetml/2006/main" count="12" uniqueCount="11">
  <si>
    <t>Date</t>
  </si>
  <si>
    <t>Actual_Sales</t>
  </si>
  <si>
    <t>simple moving average</t>
    <phoneticPr fontId="1" type="noConversion"/>
  </si>
  <si>
    <t>weighted moving average</t>
    <phoneticPr fontId="1" type="noConversion"/>
  </si>
  <si>
    <t>smoothing constant</t>
    <phoneticPr fontId="1" type="noConversion"/>
  </si>
  <si>
    <t>Exponential Smoothing</t>
    <phoneticPr fontId="1" type="noConversion"/>
  </si>
  <si>
    <t>exponential smoothing</t>
    <phoneticPr fontId="1" type="noConversion"/>
  </si>
  <si>
    <t>F</t>
    <phoneticPr fontId="1" type="noConversion"/>
  </si>
  <si>
    <t>T</t>
    <phoneticPr fontId="1" type="noConversion"/>
  </si>
  <si>
    <t>adjusted exponential smoothing</t>
    <phoneticPr fontId="1" type="noConversion"/>
  </si>
  <si>
    <t>smoothing constant(trend)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</si>
</sst>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3"/>
  <sheetViews>
    <sheetView tabSelected="1" workbookViewId="0">
      <selection activeCell="K12" sqref="K12"/>
    </sheetView>
  </sheetViews>
  <sheetFormatPr defaultRowHeight="17" x14ac:dyDescent="0.45"/>
  <cols>
    <col min="1" max="1" width="13.33203125" style="1" customWidth="1"/>
    <col min="2" max="2" width="15.1640625" customWidth="1"/>
    <col min="3" max="3" width="11.33203125" customWidth="1"/>
    <col min="5" max="5" width="21.1640625" bestFit="1" customWidth="1"/>
    <col min="8" max="8" width="29.4140625" bestFit="1" customWidth="1"/>
    <col min="9" max="9" width="12.33203125" bestFit="1" customWidth="1"/>
    <col min="11" max="11" width="29.4140625" bestFit="1" customWidth="1"/>
  </cols>
  <sheetData>
    <row r="1" spans="1:12" x14ac:dyDescent="0.45">
      <c r="A1" s="1" t="s">
        <v>0</v>
      </c>
      <c r="B1" t="s">
        <v>1</v>
      </c>
      <c r="E1" t="s">
        <v>5</v>
      </c>
      <c r="F1" t="s">
        <v>7</v>
      </c>
      <c r="G1" t="s">
        <v>8</v>
      </c>
      <c r="H1" t="s">
        <v>9</v>
      </c>
    </row>
    <row r="2" spans="1:12" x14ac:dyDescent="0.45">
      <c r="A2" s="1">
        <v>44927</v>
      </c>
      <c r="B2">
        <v>73</v>
      </c>
      <c r="C2" t="str">
        <f>TEXT(A2, "aaaa")</f>
        <v>일요일</v>
      </c>
      <c r="E2" s="2">
        <f>B2</f>
        <v>73</v>
      </c>
      <c r="F2">
        <f>B2</f>
        <v>73</v>
      </c>
      <c r="G2">
        <v>0</v>
      </c>
      <c r="H2">
        <f>F2+G2</f>
        <v>73</v>
      </c>
      <c r="K2" t="s">
        <v>2</v>
      </c>
      <c r="L2">
        <f>AVERAGE(B176:B182)</f>
        <v>142.71428571428572</v>
      </c>
    </row>
    <row r="3" spans="1:12" x14ac:dyDescent="0.45">
      <c r="A3" s="1">
        <v>44928</v>
      </c>
      <c r="B3">
        <v>53</v>
      </c>
      <c r="C3" t="str">
        <f t="shared" ref="C3:C66" si="0">TEXT(A3, "aaaa")</f>
        <v>월요일</v>
      </c>
      <c r="E3" s="2">
        <f>($L$5*B2)+(1-$L$5)*E2</f>
        <v>73</v>
      </c>
      <c r="F3">
        <f>($L$5*B3)+(1-$L$5)*(F2+G2)</f>
        <v>67</v>
      </c>
      <c r="G3">
        <f>($L$6*(F3-F2))+(1-$L$6)*G2</f>
        <v>-1.7999999999999998</v>
      </c>
      <c r="H3" s="2">
        <f>F3+G3</f>
        <v>65.2</v>
      </c>
      <c r="K3" t="s">
        <v>3</v>
      </c>
      <c r="L3">
        <f>0.5*AVERAGE(B176:B182)+0.3*AVERAGE(B169:B175)+0.2*AVERAGE(B162:B168)</f>
        <v>137.8857142857143</v>
      </c>
    </row>
    <row r="4" spans="1:12" x14ac:dyDescent="0.45">
      <c r="A4" s="1">
        <v>44929</v>
      </c>
      <c r="B4">
        <v>81</v>
      </c>
      <c r="C4" t="str">
        <f t="shared" si="0"/>
        <v>화요일</v>
      </c>
      <c r="E4" s="2">
        <f>($L$5*B3)+(1-$L$5)*E3</f>
        <v>67</v>
      </c>
      <c r="F4" s="2">
        <f t="shared" ref="F4:F67" si="1">($L$5*B4)+(1-$L$5)*(F3+G3)</f>
        <v>69.94</v>
      </c>
      <c r="G4" s="2">
        <f t="shared" ref="G4:G67" si="2">($L$6*(F4-F3))+(1-$L$6)*G3</f>
        <v>-0.37800000000000045</v>
      </c>
      <c r="H4" s="2">
        <f t="shared" ref="H4:H67" si="3">F4+G4</f>
        <v>69.561999999999998</v>
      </c>
    </row>
    <row r="5" spans="1:12" x14ac:dyDescent="0.45">
      <c r="A5" s="1">
        <v>44930</v>
      </c>
      <c r="B5">
        <v>62</v>
      </c>
      <c r="C5" t="str">
        <f t="shared" si="0"/>
        <v>수요일</v>
      </c>
      <c r="E5" s="2">
        <f>($L$5*B4)+(1-$L$5)*E4</f>
        <v>71.2</v>
      </c>
      <c r="F5" s="2">
        <f t="shared" si="1"/>
        <v>67.293399999999991</v>
      </c>
      <c r="G5" s="2">
        <f t="shared" si="2"/>
        <v>-1.0585800000000023</v>
      </c>
      <c r="H5" s="2">
        <f t="shared" si="3"/>
        <v>66.234819999999985</v>
      </c>
      <c r="K5" t="s">
        <v>4</v>
      </c>
      <c r="L5">
        <v>0.3</v>
      </c>
    </row>
    <row r="6" spans="1:12" x14ac:dyDescent="0.45">
      <c r="A6" s="1">
        <v>44931</v>
      </c>
      <c r="B6">
        <v>72</v>
      </c>
      <c r="C6" t="str">
        <f t="shared" si="0"/>
        <v>목요일</v>
      </c>
      <c r="E6" s="2">
        <f>($L$5*B5)+(1-$L$5)*E5</f>
        <v>68.44</v>
      </c>
      <c r="F6" s="2">
        <f t="shared" si="1"/>
        <v>67.964373999999978</v>
      </c>
      <c r="G6" s="2">
        <f t="shared" si="2"/>
        <v>-0.53971380000000557</v>
      </c>
      <c r="H6" s="2">
        <f t="shared" si="3"/>
        <v>67.424660199999977</v>
      </c>
      <c r="K6" t="s">
        <v>10</v>
      </c>
      <c r="L6">
        <v>0.3</v>
      </c>
    </row>
    <row r="7" spans="1:12" x14ac:dyDescent="0.45">
      <c r="A7" s="1">
        <v>44932</v>
      </c>
      <c r="B7">
        <v>65</v>
      </c>
      <c r="C7" t="str">
        <f t="shared" si="0"/>
        <v>금요일</v>
      </c>
      <c r="E7" s="2">
        <f>($L$5*B6)+(1-$L$5)*E6</f>
        <v>69.507999999999996</v>
      </c>
      <c r="F7" s="2">
        <f t="shared" si="1"/>
        <v>66.697262139999978</v>
      </c>
      <c r="G7" s="2">
        <f t="shared" si="2"/>
        <v>-0.75793321800000379</v>
      </c>
      <c r="H7" s="2">
        <f t="shared" si="3"/>
        <v>65.939328921999973</v>
      </c>
    </row>
    <row r="8" spans="1:12" x14ac:dyDescent="0.45">
      <c r="A8" s="1">
        <v>44933</v>
      </c>
      <c r="B8">
        <v>62</v>
      </c>
      <c r="C8" t="str">
        <f t="shared" si="0"/>
        <v>토요일</v>
      </c>
      <c r="E8" s="2">
        <f>($L$5*B7)+(1-$L$5)*E7</f>
        <v>68.155599999999993</v>
      </c>
      <c r="F8" s="2">
        <f t="shared" si="1"/>
        <v>64.757530245399977</v>
      </c>
      <c r="G8" s="2">
        <f t="shared" si="2"/>
        <v>-1.112472820980003</v>
      </c>
      <c r="H8" s="2">
        <f t="shared" si="3"/>
        <v>63.645057424419974</v>
      </c>
      <c r="K8" t="s">
        <v>6</v>
      </c>
      <c r="L8" s="2">
        <f>E182</f>
        <v>139.63589240473311</v>
      </c>
    </row>
    <row r="9" spans="1:12" x14ac:dyDescent="0.45">
      <c r="A9" s="1">
        <v>44934</v>
      </c>
      <c r="B9">
        <v>58</v>
      </c>
      <c r="C9" t="str">
        <f t="shared" si="0"/>
        <v>일요일</v>
      </c>
      <c r="E9" s="2">
        <f>($L$5*B8)+(1-$L$5)*E8</f>
        <v>66.308919999999986</v>
      </c>
      <c r="F9" s="2">
        <f t="shared" si="1"/>
        <v>61.951540197093976</v>
      </c>
      <c r="G9" s="2">
        <f t="shared" si="2"/>
        <v>-1.6205279891778022</v>
      </c>
      <c r="H9" s="2">
        <f t="shared" si="3"/>
        <v>60.331012207916174</v>
      </c>
      <c r="K9" t="s">
        <v>9</v>
      </c>
      <c r="L9" s="2">
        <f>H182</f>
        <v>129.62826601387897</v>
      </c>
    </row>
    <row r="10" spans="1:12" x14ac:dyDescent="0.45">
      <c r="A10" s="1">
        <v>44935</v>
      </c>
      <c r="B10">
        <v>72</v>
      </c>
      <c r="C10" t="str">
        <f t="shared" si="0"/>
        <v>월요일</v>
      </c>
      <c r="E10" s="2">
        <f>($L$5*B9)+(1-$L$5)*E9</f>
        <v>63.816243999999983</v>
      </c>
      <c r="F10" s="2">
        <f t="shared" si="1"/>
        <v>63.831708545541318</v>
      </c>
      <c r="G10" s="2">
        <f t="shared" si="2"/>
        <v>-0.57031908789025898</v>
      </c>
      <c r="H10" s="2">
        <f t="shared" si="3"/>
        <v>63.261389457651056</v>
      </c>
    </row>
    <row r="11" spans="1:12" x14ac:dyDescent="0.45">
      <c r="A11" s="1">
        <v>44936</v>
      </c>
      <c r="B11">
        <v>63</v>
      </c>
      <c r="C11" t="str">
        <f t="shared" si="0"/>
        <v>화요일</v>
      </c>
      <c r="E11" s="2">
        <f>($L$5*B10)+(1-$L$5)*E10</f>
        <v>66.271370799999985</v>
      </c>
      <c r="F11" s="2">
        <f t="shared" si="1"/>
        <v>63.182972620355734</v>
      </c>
      <c r="G11" s="2">
        <f t="shared" si="2"/>
        <v>-0.59384413907885636</v>
      </c>
      <c r="H11" s="2">
        <f t="shared" si="3"/>
        <v>62.58912848127688</v>
      </c>
    </row>
    <row r="12" spans="1:12" x14ac:dyDescent="0.45">
      <c r="A12" s="1">
        <v>44937</v>
      </c>
      <c r="B12">
        <v>70</v>
      </c>
      <c r="C12" t="str">
        <f t="shared" si="0"/>
        <v>수요일</v>
      </c>
      <c r="E12" s="2">
        <f>($L$5*B11)+(1-$L$5)*E11</f>
        <v>65.289959559999986</v>
      </c>
      <c r="F12" s="2">
        <f t="shared" si="1"/>
        <v>64.812389936893823</v>
      </c>
      <c r="G12" s="2">
        <f t="shared" si="2"/>
        <v>7.3134297606227028E-2</v>
      </c>
      <c r="H12" s="2">
        <f t="shared" si="3"/>
        <v>64.885524234500053</v>
      </c>
    </row>
    <row r="13" spans="1:12" x14ac:dyDescent="0.45">
      <c r="A13" s="1">
        <v>44938</v>
      </c>
      <c r="B13">
        <v>52</v>
      </c>
      <c r="C13" t="str">
        <f t="shared" si="0"/>
        <v>목요일</v>
      </c>
      <c r="E13" s="2">
        <f>($L$5*B12)+(1-$L$5)*E12</f>
        <v>66.702971691999977</v>
      </c>
      <c r="F13" s="2">
        <f t="shared" si="1"/>
        <v>61.019866964150033</v>
      </c>
      <c r="G13" s="2">
        <f t="shared" si="2"/>
        <v>-1.0865628834987779</v>
      </c>
      <c r="H13" s="2">
        <f t="shared" si="3"/>
        <v>59.933304080651254</v>
      </c>
    </row>
    <row r="14" spans="1:12" x14ac:dyDescent="0.45">
      <c r="A14" s="1">
        <v>44939</v>
      </c>
      <c r="B14">
        <v>63</v>
      </c>
      <c r="C14" t="str">
        <f t="shared" si="0"/>
        <v>금요일</v>
      </c>
      <c r="E14" s="2">
        <f>($L$5*B13)+(1-$L$5)*E13</f>
        <v>62.292080184399985</v>
      </c>
      <c r="F14" s="2">
        <f t="shared" si="1"/>
        <v>60.853312856455872</v>
      </c>
      <c r="G14" s="2">
        <f t="shared" si="2"/>
        <v>-0.8105602507573928</v>
      </c>
      <c r="H14" s="2">
        <f t="shared" si="3"/>
        <v>60.042752605698482</v>
      </c>
    </row>
    <row r="15" spans="1:12" x14ac:dyDescent="0.45">
      <c r="A15" s="1">
        <v>44940</v>
      </c>
      <c r="B15">
        <v>56</v>
      </c>
      <c r="C15" t="str">
        <f t="shared" si="0"/>
        <v>토요일</v>
      </c>
      <c r="E15" s="2">
        <f>($L$5*B14)+(1-$L$5)*E14</f>
        <v>62.504456129079983</v>
      </c>
      <c r="F15" s="2">
        <f t="shared" si="1"/>
        <v>58.829926823988941</v>
      </c>
      <c r="G15" s="2">
        <f t="shared" si="2"/>
        <v>-1.1744079852702543</v>
      </c>
      <c r="H15" s="2">
        <f t="shared" si="3"/>
        <v>57.655518838718685</v>
      </c>
    </row>
    <row r="16" spans="1:12" x14ac:dyDescent="0.45">
      <c r="A16" s="1">
        <v>44941</v>
      </c>
      <c r="B16">
        <v>68</v>
      </c>
      <c r="C16" t="str">
        <f t="shared" si="0"/>
        <v>일요일</v>
      </c>
      <c r="E16" s="2">
        <f>($L$5*B15)+(1-$L$5)*E15</f>
        <v>60.55311929035598</v>
      </c>
      <c r="F16" s="2">
        <f t="shared" si="1"/>
        <v>60.758863187103074</v>
      </c>
      <c r="G16" s="2">
        <f t="shared" si="2"/>
        <v>-0.24340468075493804</v>
      </c>
      <c r="H16" s="2">
        <f t="shared" si="3"/>
        <v>60.515458506348139</v>
      </c>
    </row>
    <row r="17" spans="1:8" x14ac:dyDescent="0.45">
      <c r="A17" s="1">
        <v>44942</v>
      </c>
      <c r="B17">
        <v>70</v>
      </c>
      <c r="C17" t="str">
        <f t="shared" si="0"/>
        <v>월요일</v>
      </c>
      <c r="E17" s="2">
        <f>($L$5*B16)+(1-$L$5)*E16</f>
        <v>62.787183503249182</v>
      </c>
      <c r="F17" s="2">
        <f t="shared" si="1"/>
        <v>63.360820954443696</v>
      </c>
      <c r="G17" s="2">
        <f t="shared" si="2"/>
        <v>0.61020405367372987</v>
      </c>
      <c r="H17" s="2">
        <f t="shared" si="3"/>
        <v>63.971025008117422</v>
      </c>
    </row>
    <row r="18" spans="1:8" x14ac:dyDescent="0.45">
      <c r="A18" s="1">
        <v>44943</v>
      </c>
      <c r="B18">
        <v>59</v>
      </c>
      <c r="C18" t="str">
        <f t="shared" si="0"/>
        <v>화요일</v>
      </c>
      <c r="E18" s="2">
        <f>($L$5*B17)+(1-$L$5)*E17</f>
        <v>64.951028452274414</v>
      </c>
      <c r="F18" s="2">
        <f t="shared" si="1"/>
        <v>62.479717505682189</v>
      </c>
      <c r="G18" s="2">
        <f t="shared" si="2"/>
        <v>0.16281180294315861</v>
      </c>
      <c r="H18" s="2">
        <f t="shared" si="3"/>
        <v>62.642529308625349</v>
      </c>
    </row>
    <row r="19" spans="1:8" x14ac:dyDescent="0.45">
      <c r="A19" s="1">
        <v>44944</v>
      </c>
      <c r="B19">
        <v>67</v>
      </c>
      <c r="C19" t="str">
        <f t="shared" si="0"/>
        <v>수요일</v>
      </c>
      <c r="E19" s="2">
        <f>($L$5*B18)+(1-$L$5)*E18</f>
        <v>63.165719916592082</v>
      </c>
      <c r="F19" s="2">
        <f t="shared" si="1"/>
        <v>63.949770516037745</v>
      </c>
      <c r="G19" s="2">
        <f t="shared" si="2"/>
        <v>0.55498416516687799</v>
      </c>
      <c r="H19" s="2">
        <f t="shared" si="3"/>
        <v>64.504754681204616</v>
      </c>
    </row>
    <row r="20" spans="1:8" x14ac:dyDescent="0.45">
      <c r="A20" s="1">
        <v>44945</v>
      </c>
      <c r="B20">
        <v>67</v>
      </c>
      <c r="C20" t="str">
        <f t="shared" si="0"/>
        <v>목요일</v>
      </c>
      <c r="E20" s="2">
        <f>($L$5*B19)+(1-$L$5)*E19</f>
        <v>64.316003941614454</v>
      </c>
      <c r="F20" s="2">
        <f t="shared" si="1"/>
        <v>65.25332827684322</v>
      </c>
      <c r="G20" s="2">
        <f t="shared" si="2"/>
        <v>0.77955624385845712</v>
      </c>
      <c r="H20" s="2">
        <f t="shared" si="3"/>
        <v>66.032884520701671</v>
      </c>
    </row>
    <row r="21" spans="1:8" x14ac:dyDescent="0.45">
      <c r="A21" s="1">
        <v>44946</v>
      </c>
      <c r="B21">
        <v>45</v>
      </c>
      <c r="C21" t="str">
        <f t="shared" si="0"/>
        <v>금요일</v>
      </c>
      <c r="E21" s="2">
        <f>($L$5*B20)+(1-$L$5)*E20</f>
        <v>65.121202759130114</v>
      </c>
      <c r="F21" s="2">
        <f t="shared" si="1"/>
        <v>59.72301916449117</v>
      </c>
      <c r="G21" s="2">
        <f t="shared" si="2"/>
        <v>-1.1134033630046951</v>
      </c>
      <c r="H21" s="2">
        <f t="shared" si="3"/>
        <v>58.609615801486477</v>
      </c>
    </row>
    <row r="22" spans="1:8" x14ac:dyDescent="0.45">
      <c r="A22" s="1">
        <v>44947</v>
      </c>
      <c r="B22">
        <v>80</v>
      </c>
      <c r="C22" t="str">
        <f t="shared" si="0"/>
        <v>토요일</v>
      </c>
      <c r="E22" s="2">
        <f>($L$5*B21)+(1-$L$5)*E21</f>
        <v>59.084841931391075</v>
      </c>
      <c r="F22" s="2">
        <f t="shared" si="1"/>
        <v>65.026731061040522</v>
      </c>
      <c r="G22" s="2">
        <f t="shared" si="2"/>
        <v>0.811731214861519</v>
      </c>
      <c r="H22" s="2">
        <f t="shared" si="3"/>
        <v>65.838462275902046</v>
      </c>
    </row>
    <row r="23" spans="1:8" x14ac:dyDescent="0.45">
      <c r="A23" s="1">
        <v>44948</v>
      </c>
      <c r="B23">
        <v>65</v>
      </c>
      <c r="C23" t="str">
        <f t="shared" si="0"/>
        <v>일요일</v>
      </c>
      <c r="E23" s="2">
        <f>($L$5*B22)+(1-$L$5)*E22</f>
        <v>65.359389351973761</v>
      </c>
      <c r="F23" s="2">
        <f t="shared" si="1"/>
        <v>65.586923593131431</v>
      </c>
      <c r="G23" s="2">
        <f t="shared" si="2"/>
        <v>0.73626961003033586</v>
      </c>
      <c r="H23" s="2">
        <f t="shared" si="3"/>
        <v>66.323193203161765</v>
      </c>
    </row>
    <row r="24" spans="1:8" x14ac:dyDescent="0.45">
      <c r="A24" s="1">
        <v>44949</v>
      </c>
      <c r="B24">
        <v>68</v>
      </c>
      <c r="C24" t="str">
        <f t="shared" si="0"/>
        <v>월요일</v>
      </c>
      <c r="E24" s="2">
        <f>($L$5*B23)+(1-$L$5)*E23</f>
        <v>65.251572546381624</v>
      </c>
      <c r="F24" s="2">
        <f t="shared" si="1"/>
        <v>66.82623524221323</v>
      </c>
      <c r="G24" s="2">
        <f t="shared" si="2"/>
        <v>0.88718222174577477</v>
      </c>
      <c r="H24" s="2">
        <f t="shared" si="3"/>
        <v>67.713417463959004</v>
      </c>
    </row>
    <row r="25" spans="1:8" x14ac:dyDescent="0.45">
      <c r="A25" s="1">
        <v>44950</v>
      </c>
      <c r="B25">
        <v>87</v>
      </c>
      <c r="C25" t="str">
        <f t="shared" si="0"/>
        <v>화요일</v>
      </c>
      <c r="E25" s="2">
        <f>($L$5*B24)+(1-$L$5)*E24</f>
        <v>66.076100782467137</v>
      </c>
      <c r="F25" s="2">
        <f t="shared" si="1"/>
        <v>73.499392224771299</v>
      </c>
      <c r="G25" s="2">
        <f t="shared" si="2"/>
        <v>2.6229746499894628</v>
      </c>
      <c r="H25" s="2">
        <f t="shared" si="3"/>
        <v>76.122366874760758</v>
      </c>
    </row>
    <row r="26" spans="1:8" x14ac:dyDescent="0.45">
      <c r="A26" s="1">
        <v>44951</v>
      </c>
      <c r="B26">
        <v>66</v>
      </c>
      <c r="C26" t="str">
        <f t="shared" si="0"/>
        <v>수요일</v>
      </c>
      <c r="E26" s="2">
        <f>($L$5*B25)+(1-$L$5)*E25</f>
        <v>72.353270547726993</v>
      </c>
      <c r="F26" s="2">
        <f t="shared" si="1"/>
        <v>73.08565681233253</v>
      </c>
      <c r="G26" s="2">
        <f t="shared" si="2"/>
        <v>1.7119616312609933</v>
      </c>
      <c r="H26" s="2">
        <f t="shared" si="3"/>
        <v>74.797618443593521</v>
      </c>
    </row>
    <row r="27" spans="1:8" x14ac:dyDescent="0.45">
      <c r="A27" s="1">
        <v>44952</v>
      </c>
      <c r="B27">
        <v>60</v>
      </c>
      <c r="C27" t="str">
        <f t="shared" si="0"/>
        <v>목요일</v>
      </c>
      <c r="E27" s="2">
        <f>($L$5*B26)+(1-$L$5)*E26</f>
        <v>70.447289383408886</v>
      </c>
      <c r="F27" s="2">
        <f t="shared" si="1"/>
        <v>70.358332910515458</v>
      </c>
      <c r="G27" s="2">
        <f t="shared" si="2"/>
        <v>0.38017597133757353</v>
      </c>
      <c r="H27" s="2">
        <f t="shared" si="3"/>
        <v>70.738508881853036</v>
      </c>
    </row>
    <row r="28" spans="1:8" x14ac:dyDescent="0.45">
      <c r="A28" s="1">
        <v>44953</v>
      </c>
      <c r="B28">
        <v>83</v>
      </c>
      <c r="C28" t="str">
        <f t="shared" si="0"/>
        <v>금요일</v>
      </c>
      <c r="E28" s="2">
        <f>($L$5*B27)+(1-$L$5)*E27</f>
        <v>67.313102568386228</v>
      </c>
      <c r="F28" s="2">
        <f t="shared" si="1"/>
        <v>74.416956217297127</v>
      </c>
      <c r="G28" s="2">
        <f t="shared" si="2"/>
        <v>1.4837101719708023</v>
      </c>
      <c r="H28" s="2">
        <f t="shared" si="3"/>
        <v>75.900666389267926</v>
      </c>
    </row>
    <row r="29" spans="1:8" x14ac:dyDescent="0.45">
      <c r="A29" s="1">
        <v>44954</v>
      </c>
      <c r="B29">
        <v>53</v>
      </c>
      <c r="C29" t="str">
        <f t="shared" si="0"/>
        <v>토요일</v>
      </c>
      <c r="E29" s="2">
        <f>($L$5*B28)+(1-$L$5)*E28</f>
        <v>72.019171797870356</v>
      </c>
      <c r="F29" s="2">
        <f t="shared" si="1"/>
        <v>69.030466472487547</v>
      </c>
      <c r="G29" s="2">
        <f t="shared" si="2"/>
        <v>-0.57734980306331241</v>
      </c>
      <c r="H29" s="2">
        <f t="shared" si="3"/>
        <v>68.453116669424233</v>
      </c>
    </row>
    <row r="30" spans="1:8" x14ac:dyDescent="0.45">
      <c r="A30" s="1">
        <v>44955</v>
      </c>
      <c r="B30">
        <v>74</v>
      </c>
      <c r="C30" t="str">
        <f t="shared" si="0"/>
        <v>일요일</v>
      </c>
      <c r="E30" s="2">
        <f>($L$5*B29)+(1-$L$5)*E29</f>
        <v>66.31342025850924</v>
      </c>
      <c r="F30" s="2">
        <f t="shared" si="1"/>
        <v>70.117181668596956</v>
      </c>
      <c r="G30" s="2">
        <f t="shared" si="2"/>
        <v>-7.8130303311495841E-2</v>
      </c>
      <c r="H30" s="2">
        <f t="shared" si="3"/>
        <v>70.039051365285459</v>
      </c>
    </row>
    <row r="31" spans="1:8" x14ac:dyDescent="0.45">
      <c r="A31" s="1">
        <v>44956</v>
      </c>
      <c r="B31">
        <v>62</v>
      </c>
      <c r="C31" t="str">
        <f t="shared" si="0"/>
        <v>월요일</v>
      </c>
      <c r="E31" s="2">
        <f>($L$5*B30)+(1-$L$5)*E30</f>
        <v>68.619394180956462</v>
      </c>
      <c r="F31" s="2">
        <f t="shared" si="1"/>
        <v>67.62733595569982</v>
      </c>
      <c r="G31" s="2">
        <f t="shared" si="2"/>
        <v>-0.80164492618718786</v>
      </c>
      <c r="H31" s="2">
        <f t="shared" si="3"/>
        <v>66.825691029512626</v>
      </c>
    </row>
    <row r="32" spans="1:8" x14ac:dyDescent="0.45">
      <c r="A32" s="1">
        <v>44957</v>
      </c>
      <c r="B32">
        <v>39</v>
      </c>
      <c r="C32" t="str">
        <f t="shared" si="0"/>
        <v>화요일</v>
      </c>
      <c r="E32" s="2">
        <f>($L$5*B31)+(1-$L$5)*E31</f>
        <v>66.633575926669522</v>
      </c>
      <c r="F32" s="2">
        <f t="shared" si="1"/>
        <v>58.477983720658841</v>
      </c>
      <c r="G32" s="2">
        <f t="shared" si="2"/>
        <v>-3.3059571188433252</v>
      </c>
      <c r="H32" s="2">
        <f t="shared" si="3"/>
        <v>55.172026601815517</v>
      </c>
    </row>
    <row r="33" spans="1:8" x14ac:dyDescent="0.45">
      <c r="A33" s="1">
        <v>44958</v>
      </c>
      <c r="B33">
        <v>79</v>
      </c>
      <c r="C33" t="str">
        <f t="shared" si="0"/>
        <v>수요일</v>
      </c>
      <c r="E33" s="2">
        <f>($L$5*B32)+(1-$L$5)*E32</f>
        <v>58.34350314866866</v>
      </c>
      <c r="F33" s="2">
        <f t="shared" si="1"/>
        <v>62.320418621270861</v>
      </c>
      <c r="G33" s="2">
        <f t="shared" si="2"/>
        <v>-1.1614395130067217</v>
      </c>
      <c r="H33" s="2">
        <f t="shared" si="3"/>
        <v>61.158979108264141</v>
      </c>
    </row>
    <row r="34" spans="1:8" x14ac:dyDescent="0.45">
      <c r="A34" s="1">
        <v>44959</v>
      </c>
      <c r="B34">
        <v>74</v>
      </c>
      <c r="C34" t="str">
        <f t="shared" si="0"/>
        <v>목요일</v>
      </c>
      <c r="E34" s="2">
        <f>($L$5*B33)+(1-$L$5)*E33</f>
        <v>64.54045220406806</v>
      </c>
      <c r="F34" s="2">
        <f t="shared" si="1"/>
        <v>65.011285375784894</v>
      </c>
      <c r="G34" s="2">
        <f t="shared" si="2"/>
        <v>-5.7476327504951685E-3</v>
      </c>
      <c r="H34" s="2">
        <f t="shared" si="3"/>
        <v>65.005537743034395</v>
      </c>
    </row>
    <row r="35" spans="1:8" x14ac:dyDescent="0.45">
      <c r="A35" s="1">
        <v>44960</v>
      </c>
      <c r="B35">
        <v>75</v>
      </c>
      <c r="C35" t="str">
        <f t="shared" si="0"/>
        <v>금요일</v>
      </c>
      <c r="E35" s="2">
        <f>($L$5*B34)+(1-$L$5)*E34</f>
        <v>67.378316542847642</v>
      </c>
      <c r="F35" s="2">
        <f t="shared" si="1"/>
        <v>68.003876420124072</v>
      </c>
      <c r="G35" s="2">
        <f t="shared" si="2"/>
        <v>0.89375397037640703</v>
      </c>
      <c r="H35" s="2">
        <f t="shared" si="3"/>
        <v>68.897630390500481</v>
      </c>
    </row>
    <row r="36" spans="1:8" x14ac:dyDescent="0.45">
      <c r="A36" s="1">
        <v>44961</v>
      </c>
      <c r="B36">
        <v>72</v>
      </c>
      <c r="C36" t="str">
        <f t="shared" si="0"/>
        <v>토요일</v>
      </c>
      <c r="E36" s="2">
        <f>($L$5*B35)+(1-$L$5)*E35</f>
        <v>69.664821579993344</v>
      </c>
      <c r="F36" s="2">
        <f t="shared" si="1"/>
        <v>69.828341273350333</v>
      </c>
      <c r="G36" s="2">
        <f t="shared" si="2"/>
        <v>1.1729672352313629</v>
      </c>
      <c r="H36" s="2">
        <f t="shared" si="3"/>
        <v>71.001308508581701</v>
      </c>
    </row>
    <row r="37" spans="1:8" x14ac:dyDescent="0.45">
      <c r="A37" s="1">
        <v>44962</v>
      </c>
      <c r="B37">
        <v>58</v>
      </c>
      <c r="C37" t="str">
        <f t="shared" si="0"/>
        <v>일요일</v>
      </c>
      <c r="E37" s="2">
        <f>($L$5*B36)+(1-$L$5)*E36</f>
        <v>70.365375105995341</v>
      </c>
      <c r="F37" s="2">
        <f t="shared" si="1"/>
        <v>67.100915956007185</v>
      </c>
      <c r="G37" s="2">
        <f t="shared" si="2"/>
        <v>2.849469459009768E-3</v>
      </c>
      <c r="H37" s="2">
        <f t="shared" si="3"/>
        <v>67.103765425466193</v>
      </c>
    </row>
    <row r="38" spans="1:8" x14ac:dyDescent="0.45">
      <c r="A38" s="1">
        <v>44963</v>
      </c>
      <c r="B38">
        <v>67</v>
      </c>
      <c r="C38" t="str">
        <f t="shared" si="0"/>
        <v>월요일</v>
      </c>
      <c r="E38" s="2">
        <f>($L$5*B37)+(1-$L$5)*E37</f>
        <v>66.655762574196729</v>
      </c>
      <c r="F38" s="2">
        <f t="shared" si="1"/>
        <v>67.072635797826337</v>
      </c>
      <c r="G38" s="2">
        <f t="shared" si="2"/>
        <v>-6.4894188329477128E-3</v>
      </c>
      <c r="H38" s="2">
        <f t="shared" si="3"/>
        <v>67.066146378993395</v>
      </c>
    </row>
    <row r="39" spans="1:8" x14ac:dyDescent="0.45">
      <c r="A39" s="1">
        <v>44964</v>
      </c>
      <c r="B39">
        <v>59</v>
      </c>
      <c r="C39" t="str">
        <f t="shared" si="0"/>
        <v>화요일</v>
      </c>
      <c r="E39" s="2">
        <f>($L$5*B38)+(1-$L$5)*E38</f>
        <v>66.759033801937704</v>
      </c>
      <c r="F39" s="2">
        <f t="shared" si="1"/>
        <v>64.646302465295378</v>
      </c>
      <c r="G39" s="2">
        <f t="shared" si="2"/>
        <v>-0.73244259294235103</v>
      </c>
      <c r="H39" s="2">
        <f t="shared" si="3"/>
        <v>63.913859872353029</v>
      </c>
    </row>
    <row r="40" spans="1:8" x14ac:dyDescent="0.45">
      <c r="A40" s="1">
        <v>44965</v>
      </c>
      <c r="B40">
        <v>66</v>
      </c>
      <c r="C40" t="str">
        <f t="shared" si="0"/>
        <v>수요일</v>
      </c>
      <c r="E40" s="2">
        <f>($L$5*B39)+(1-$L$5)*E39</f>
        <v>64.431323661356387</v>
      </c>
      <c r="F40" s="2">
        <f t="shared" si="1"/>
        <v>64.539701910647125</v>
      </c>
      <c r="G40" s="2">
        <f t="shared" si="2"/>
        <v>-0.54468998145412162</v>
      </c>
      <c r="H40" s="2">
        <f t="shared" si="3"/>
        <v>63.995011929193005</v>
      </c>
    </row>
    <row r="41" spans="1:8" x14ac:dyDescent="0.45">
      <c r="A41" s="1">
        <v>44966</v>
      </c>
      <c r="B41">
        <v>69</v>
      </c>
      <c r="C41" t="str">
        <f t="shared" si="0"/>
        <v>목요일</v>
      </c>
      <c r="E41" s="2">
        <f>($L$5*B40)+(1-$L$5)*E40</f>
        <v>64.90192656294947</v>
      </c>
      <c r="F41" s="2">
        <f t="shared" si="1"/>
        <v>65.496508350435107</v>
      </c>
      <c r="G41" s="2">
        <f t="shared" si="2"/>
        <v>-9.4241055081490444E-2</v>
      </c>
      <c r="H41" s="2">
        <f t="shared" si="3"/>
        <v>65.40226729535361</v>
      </c>
    </row>
    <row r="42" spans="1:8" x14ac:dyDescent="0.45">
      <c r="A42" s="1">
        <v>44967</v>
      </c>
      <c r="B42">
        <v>65</v>
      </c>
      <c r="C42" t="str">
        <f t="shared" si="0"/>
        <v>금요일</v>
      </c>
      <c r="E42" s="2">
        <f>($L$5*B41)+(1-$L$5)*E41</f>
        <v>66.131348594064619</v>
      </c>
      <c r="F42" s="2">
        <f t="shared" si="1"/>
        <v>65.281587106747523</v>
      </c>
      <c r="G42" s="2">
        <f t="shared" si="2"/>
        <v>-0.13044511166331857</v>
      </c>
      <c r="H42" s="2">
        <f t="shared" si="3"/>
        <v>65.151141995084203</v>
      </c>
    </row>
    <row r="43" spans="1:8" x14ac:dyDescent="0.45">
      <c r="A43" s="1">
        <v>44968</v>
      </c>
      <c r="B43">
        <v>61</v>
      </c>
      <c r="C43" t="str">
        <f t="shared" si="0"/>
        <v>토요일</v>
      </c>
      <c r="E43" s="2">
        <f>($L$5*B42)+(1-$L$5)*E42</f>
        <v>65.791944015845232</v>
      </c>
      <c r="F43" s="2">
        <f t="shared" si="1"/>
        <v>63.905799396558933</v>
      </c>
      <c r="G43" s="2">
        <f t="shared" si="2"/>
        <v>-0.50404789122089988</v>
      </c>
      <c r="H43" s="2">
        <f t="shared" si="3"/>
        <v>63.401751505338034</v>
      </c>
    </row>
    <row r="44" spans="1:8" x14ac:dyDescent="0.45">
      <c r="A44" s="1">
        <v>44969</v>
      </c>
      <c r="B44">
        <v>73</v>
      </c>
      <c r="C44" t="str">
        <f t="shared" si="0"/>
        <v>일요일</v>
      </c>
      <c r="E44" s="2">
        <f>($L$5*B43)+(1-$L$5)*E43</f>
        <v>64.354360811091667</v>
      </c>
      <c r="F44" s="2">
        <f t="shared" si="1"/>
        <v>66.281226053736617</v>
      </c>
      <c r="G44" s="2">
        <f t="shared" si="2"/>
        <v>0.35979447329867525</v>
      </c>
      <c r="H44" s="2">
        <f t="shared" si="3"/>
        <v>66.641020527035295</v>
      </c>
    </row>
    <row r="45" spans="1:8" x14ac:dyDescent="0.45">
      <c r="A45" s="1">
        <v>44970</v>
      </c>
      <c r="B45">
        <v>73</v>
      </c>
      <c r="C45" t="str">
        <f t="shared" si="0"/>
        <v>월요일</v>
      </c>
      <c r="E45" s="2">
        <f>($L$5*B44)+(1-$L$5)*E44</f>
        <v>66.948052567764165</v>
      </c>
      <c r="F45" s="2">
        <f t="shared" si="1"/>
        <v>68.548714368924692</v>
      </c>
      <c r="G45" s="2">
        <f t="shared" si="2"/>
        <v>0.93210262586549519</v>
      </c>
      <c r="H45" s="2">
        <f t="shared" si="3"/>
        <v>69.480816994790189</v>
      </c>
    </row>
    <row r="46" spans="1:8" x14ac:dyDescent="0.45">
      <c r="A46" s="1">
        <v>44971</v>
      </c>
      <c r="B46">
        <v>53</v>
      </c>
      <c r="C46" t="str">
        <f t="shared" si="0"/>
        <v>화요일</v>
      </c>
      <c r="E46" s="2">
        <f>($L$5*B45)+(1-$L$5)*E45</f>
        <v>68.763636797434913</v>
      </c>
      <c r="F46" s="2">
        <f t="shared" si="1"/>
        <v>64.536571896353138</v>
      </c>
      <c r="G46" s="2">
        <f t="shared" si="2"/>
        <v>-0.55117090366561949</v>
      </c>
      <c r="H46" s="2">
        <f t="shared" si="3"/>
        <v>63.985400992687516</v>
      </c>
    </row>
    <row r="47" spans="1:8" x14ac:dyDescent="0.45">
      <c r="A47" s="1">
        <v>44972</v>
      </c>
      <c r="B47">
        <v>89</v>
      </c>
      <c r="C47" t="str">
        <f t="shared" si="0"/>
        <v>수요일</v>
      </c>
      <c r="E47" s="2">
        <f>($L$5*B46)+(1-$L$5)*E46</f>
        <v>64.034545758204445</v>
      </c>
      <c r="F47" s="2">
        <f t="shared" si="1"/>
        <v>71.489780694881262</v>
      </c>
      <c r="G47" s="2">
        <f t="shared" si="2"/>
        <v>1.7001430069925036</v>
      </c>
      <c r="H47" s="2">
        <f t="shared" si="3"/>
        <v>73.189923701873767</v>
      </c>
    </row>
    <row r="48" spans="1:8" x14ac:dyDescent="0.45">
      <c r="A48" s="1">
        <v>44973</v>
      </c>
      <c r="B48">
        <v>75</v>
      </c>
      <c r="C48" t="str">
        <f t="shared" si="0"/>
        <v>목요일</v>
      </c>
      <c r="E48" s="2">
        <f>($L$5*B47)+(1-$L$5)*E47</f>
        <v>71.524182030743106</v>
      </c>
      <c r="F48" s="2">
        <f t="shared" si="1"/>
        <v>73.732946591311631</v>
      </c>
      <c r="G48" s="2">
        <f t="shared" si="2"/>
        <v>1.8630498738238632</v>
      </c>
      <c r="H48" s="2">
        <f t="shared" si="3"/>
        <v>75.595996465135499</v>
      </c>
    </row>
    <row r="49" spans="1:8" x14ac:dyDescent="0.45">
      <c r="A49" s="1">
        <v>44974</v>
      </c>
      <c r="B49">
        <v>58</v>
      </c>
      <c r="C49" t="str">
        <f t="shared" si="0"/>
        <v>금요일</v>
      </c>
      <c r="E49" s="2">
        <f>($L$5*B48)+(1-$L$5)*E48</f>
        <v>72.566927421520177</v>
      </c>
      <c r="F49" s="2">
        <f t="shared" si="1"/>
        <v>70.31719752559485</v>
      </c>
      <c r="G49" s="2">
        <f t="shared" si="2"/>
        <v>0.27941019196166983</v>
      </c>
      <c r="H49" s="2">
        <f t="shared" si="3"/>
        <v>70.596607717556523</v>
      </c>
    </row>
    <row r="50" spans="1:8" x14ac:dyDescent="0.45">
      <c r="A50" s="1">
        <v>44975</v>
      </c>
      <c r="B50">
        <v>84</v>
      </c>
      <c r="C50" t="str">
        <f t="shared" si="0"/>
        <v>토요일</v>
      </c>
      <c r="E50" s="2">
        <f>($L$5*B49)+(1-$L$5)*E49</f>
        <v>68.196849195064118</v>
      </c>
      <c r="F50" s="2">
        <f t="shared" si="1"/>
        <v>74.617625402289562</v>
      </c>
      <c r="G50" s="2">
        <f t="shared" si="2"/>
        <v>1.4857154973815825</v>
      </c>
      <c r="H50" s="2">
        <f t="shared" si="3"/>
        <v>76.103340899671139</v>
      </c>
    </row>
    <row r="51" spans="1:8" x14ac:dyDescent="0.45">
      <c r="A51" s="1">
        <v>44976</v>
      </c>
      <c r="B51">
        <v>76</v>
      </c>
      <c r="C51" t="str">
        <f t="shared" si="0"/>
        <v>일요일</v>
      </c>
      <c r="E51" s="2">
        <f>($L$5*B50)+(1-$L$5)*E50</f>
        <v>72.937794436544877</v>
      </c>
      <c r="F51" s="2">
        <f t="shared" si="1"/>
        <v>76.072338629769789</v>
      </c>
      <c r="G51" s="2">
        <f t="shared" si="2"/>
        <v>1.4764148164111757</v>
      </c>
      <c r="H51" s="2">
        <f t="shared" si="3"/>
        <v>77.548753446180967</v>
      </c>
    </row>
    <row r="52" spans="1:8" x14ac:dyDescent="0.45">
      <c r="A52" s="1">
        <v>44977</v>
      </c>
      <c r="B52">
        <v>71</v>
      </c>
      <c r="C52" t="str">
        <f t="shared" si="0"/>
        <v>월요일</v>
      </c>
      <c r="E52" s="2">
        <f>($L$5*B51)+(1-$L$5)*E51</f>
        <v>73.856456105581415</v>
      </c>
      <c r="F52" s="2">
        <f t="shared" si="1"/>
        <v>75.58412741232668</v>
      </c>
      <c r="G52" s="2">
        <f t="shared" si="2"/>
        <v>0.88702700625489039</v>
      </c>
      <c r="H52" s="2">
        <f t="shared" si="3"/>
        <v>76.471154418581577</v>
      </c>
    </row>
    <row r="53" spans="1:8" x14ac:dyDescent="0.45">
      <c r="A53" s="1">
        <v>44978</v>
      </c>
      <c r="B53">
        <v>62</v>
      </c>
      <c r="C53" t="str">
        <f t="shared" si="0"/>
        <v>화요일</v>
      </c>
      <c r="E53" s="2">
        <f>($L$5*B52)+(1-$L$5)*E52</f>
        <v>72.999519273906984</v>
      </c>
      <c r="F53" s="2">
        <f t="shared" si="1"/>
        <v>72.1298080930071</v>
      </c>
      <c r="G53" s="2">
        <f t="shared" si="2"/>
        <v>-0.41537689141745082</v>
      </c>
      <c r="H53" s="2">
        <f t="shared" si="3"/>
        <v>71.714431201589647</v>
      </c>
    </row>
    <row r="54" spans="1:8" x14ac:dyDescent="0.45">
      <c r="A54" s="1">
        <v>44979</v>
      </c>
      <c r="B54">
        <v>70</v>
      </c>
      <c r="C54" t="str">
        <f t="shared" si="0"/>
        <v>수요일</v>
      </c>
      <c r="E54" s="2">
        <f>($L$5*B53)+(1-$L$5)*E53</f>
        <v>69.699663491734881</v>
      </c>
      <c r="F54" s="2">
        <f t="shared" si="1"/>
        <v>71.20010184111274</v>
      </c>
      <c r="G54" s="2">
        <f t="shared" si="2"/>
        <v>-0.56967569956052322</v>
      </c>
      <c r="H54" s="2">
        <f t="shared" si="3"/>
        <v>70.630426141552221</v>
      </c>
    </row>
    <row r="55" spans="1:8" x14ac:dyDescent="0.45">
      <c r="A55" s="1">
        <v>44980</v>
      </c>
      <c r="B55">
        <v>75</v>
      </c>
      <c r="C55" t="str">
        <f t="shared" si="0"/>
        <v>목요일</v>
      </c>
      <c r="E55" s="2">
        <f>($L$5*B54)+(1-$L$5)*E54</f>
        <v>69.789764444214413</v>
      </c>
      <c r="F55" s="2">
        <f t="shared" si="1"/>
        <v>71.941298299086554</v>
      </c>
      <c r="G55" s="2">
        <f t="shared" si="2"/>
        <v>-0.17641405230022206</v>
      </c>
      <c r="H55" s="2">
        <f t="shared" si="3"/>
        <v>71.764884246786337</v>
      </c>
    </row>
    <row r="56" spans="1:8" x14ac:dyDescent="0.45">
      <c r="A56" s="1">
        <v>44981</v>
      </c>
      <c r="B56">
        <v>81</v>
      </c>
      <c r="C56" t="str">
        <f t="shared" si="0"/>
        <v>금요일</v>
      </c>
      <c r="E56" s="2">
        <f>($L$5*B55)+(1-$L$5)*E55</f>
        <v>71.352835110950082</v>
      </c>
      <c r="F56" s="2">
        <f t="shared" si="1"/>
        <v>74.535418972750435</v>
      </c>
      <c r="G56" s="2">
        <f t="shared" si="2"/>
        <v>0.65474636548900866</v>
      </c>
      <c r="H56" s="2">
        <f t="shared" si="3"/>
        <v>75.190165338239439</v>
      </c>
    </row>
    <row r="57" spans="1:8" x14ac:dyDescent="0.45">
      <c r="A57" s="1">
        <v>44982</v>
      </c>
      <c r="B57">
        <v>65</v>
      </c>
      <c r="C57" t="str">
        <f t="shared" si="0"/>
        <v>토요일</v>
      </c>
      <c r="E57" s="2">
        <f>($L$5*B56)+(1-$L$5)*E56</f>
        <v>74.24698457766506</v>
      </c>
      <c r="F57" s="2">
        <f t="shared" si="1"/>
        <v>72.133115736767607</v>
      </c>
      <c r="G57" s="2">
        <f t="shared" si="2"/>
        <v>-0.26236851495254232</v>
      </c>
      <c r="H57" s="2">
        <f t="shared" si="3"/>
        <v>71.870747221815066</v>
      </c>
    </row>
    <row r="58" spans="1:8" x14ac:dyDescent="0.45">
      <c r="A58" s="1">
        <v>44983</v>
      </c>
      <c r="B58">
        <v>67</v>
      </c>
      <c r="C58" t="str">
        <f t="shared" si="0"/>
        <v>일요일</v>
      </c>
      <c r="E58" s="2">
        <f>($L$5*B57)+(1-$L$5)*E57</f>
        <v>71.472889204365543</v>
      </c>
      <c r="F58" s="2">
        <f t="shared" si="1"/>
        <v>70.40952305527054</v>
      </c>
      <c r="G58" s="2">
        <f t="shared" si="2"/>
        <v>-0.70073576491589962</v>
      </c>
      <c r="H58" s="2">
        <f t="shared" si="3"/>
        <v>69.708787290354636</v>
      </c>
    </row>
    <row r="59" spans="1:8" x14ac:dyDescent="0.45">
      <c r="A59" s="1">
        <v>44984</v>
      </c>
      <c r="B59">
        <v>88</v>
      </c>
      <c r="C59" t="str">
        <f t="shared" si="0"/>
        <v>월요일</v>
      </c>
      <c r="E59" s="2">
        <f>($L$5*B58)+(1-$L$5)*E58</f>
        <v>70.131022443055869</v>
      </c>
      <c r="F59" s="2">
        <f t="shared" si="1"/>
        <v>75.196151103248241</v>
      </c>
      <c r="G59" s="2">
        <f t="shared" si="2"/>
        <v>0.94547337895218053</v>
      </c>
      <c r="H59" s="2">
        <f t="shared" si="3"/>
        <v>76.141624482200427</v>
      </c>
    </row>
    <row r="60" spans="1:8" x14ac:dyDescent="0.45">
      <c r="A60" s="1">
        <v>44985</v>
      </c>
      <c r="B60">
        <v>59</v>
      </c>
      <c r="C60" t="str">
        <f t="shared" si="0"/>
        <v>화요일</v>
      </c>
      <c r="E60" s="2">
        <f>($L$5*B59)+(1-$L$5)*E59</f>
        <v>75.491715710139104</v>
      </c>
      <c r="F60" s="2">
        <f t="shared" si="1"/>
        <v>70.999137137540302</v>
      </c>
      <c r="G60" s="2">
        <f t="shared" si="2"/>
        <v>-0.59727282444585528</v>
      </c>
      <c r="H60" s="2">
        <f t="shared" si="3"/>
        <v>70.40186431309445</v>
      </c>
    </row>
    <row r="61" spans="1:8" x14ac:dyDescent="0.45">
      <c r="A61" s="1">
        <v>44986</v>
      </c>
      <c r="B61">
        <v>78</v>
      </c>
      <c r="C61" t="str">
        <f t="shared" si="0"/>
        <v>수요일</v>
      </c>
      <c r="E61" s="2">
        <f>($L$5*B60)+(1-$L$5)*E60</f>
        <v>70.544200997097363</v>
      </c>
      <c r="F61" s="2">
        <f t="shared" si="1"/>
        <v>72.681305019166103</v>
      </c>
      <c r="G61" s="2">
        <f t="shared" si="2"/>
        <v>8.6559387375641672E-2</v>
      </c>
      <c r="H61" s="2">
        <f t="shared" si="3"/>
        <v>72.767864406541747</v>
      </c>
    </row>
    <row r="62" spans="1:8" x14ac:dyDescent="0.45">
      <c r="A62" s="1">
        <v>44987</v>
      </c>
      <c r="B62">
        <v>89</v>
      </c>
      <c r="C62" t="str">
        <f t="shared" si="0"/>
        <v>목요일</v>
      </c>
      <c r="E62" s="2">
        <f>($L$5*B61)+(1-$L$5)*E61</f>
        <v>72.780940697968148</v>
      </c>
      <c r="F62" s="2">
        <f t="shared" si="1"/>
        <v>77.637505084579217</v>
      </c>
      <c r="G62" s="2">
        <f t="shared" si="2"/>
        <v>1.5474515907868833</v>
      </c>
      <c r="H62" s="2">
        <f t="shared" si="3"/>
        <v>79.184956675366095</v>
      </c>
    </row>
    <row r="63" spans="1:8" x14ac:dyDescent="0.45">
      <c r="A63" s="1">
        <v>44988</v>
      </c>
      <c r="B63">
        <v>94</v>
      </c>
      <c r="C63" t="str">
        <f t="shared" si="0"/>
        <v>금요일</v>
      </c>
      <c r="E63" s="2">
        <f>($L$5*B62)+(1-$L$5)*E62</f>
        <v>77.6466584885777</v>
      </c>
      <c r="F63" s="2">
        <f t="shared" si="1"/>
        <v>83.629469672756258</v>
      </c>
      <c r="G63" s="2">
        <f t="shared" si="2"/>
        <v>2.8808054900039304</v>
      </c>
      <c r="H63" s="2">
        <f t="shared" si="3"/>
        <v>86.510275162760195</v>
      </c>
    </row>
    <row r="64" spans="1:8" x14ac:dyDescent="0.45">
      <c r="A64" s="1">
        <v>44989</v>
      </c>
      <c r="B64">
        <v>85</v>
      </c>
      <c r="C64" t="str">
        <f t="shared" si="0"/>
        <v>토요일</v>
      </c>
      <c r="E64" s="2">
        <f>($L$5*B63)+(1-$L$5)*E63</f>
        <v>82.55266094200438</v>
      </c>
      <c r="F64" s="2">
        <f t="shared" si="1"/>
        <v>86.057192613932131</v>
      </c>
      <c r="G64" s="2">
        <f t="shared" si="2"/>
        <v>2.7448807253555128</v>
      </c>
      <c r="H64" s="2">
        <f t="shared" si="3"/>
        <v>88.802073339287645</v>
      </c>
    </row>
    <row r="65" spans="1:8" x14ac:dyDescent="0.45">
      <c r="A65" s="1">
        <v>44990</v>
      </c>
      <c r="B65">
        <v>96</v>
      </c>
      <c r="C65" t="str">
        <f t="shared" si="0"/>
        <v>일요일</v>
      </c>
      <c r="E65" s="2">
        <f>($L$5*B64)+(1-$L$5)*E64</f>
        <v>83.286862659403056</v>
      </c>
      <c r="F65" s="2">
        <f t="shared" si="1"/>
        <v>90.961451337501344</v>
      </c>
      <c r="G65" s="2">
        <f t="shared" si="2"/>
        <v>3.3926941248196227</v>
      </c>
      <c r="H65" s="2">
        <f t="shared" si="3"/>
        <v>94.354145462320972</v>
      </c>
    </row>
    <row r="66" spans="1:8" x14ac:dyDescent="0.45">
      <c r="A66" s="1">
        <v>44991</v>
      </c>
      <c r="B66">
        <v>98</v>
      </c>
      <c r="C66" t="str">
        <f t="shared" si="0"/>
        <v>월요일</v>
      </c>
      <c r="E66" s="2">
        <f>($L$5*B65)+(1-$L$5)*E65</f>
        <v>87.100803861582136</v>
      </c>
      <c r="F66" s="2">
        <f t="shared" si="1"/>
        <v>95.447901823624676</v>
      </c>
      <c r="G66" s="2">
        <f t="shared" si="2"/>
        <v>3.7208210332107354</v>
      </c>
      <c r="H66" s="2">
        <f t="shared" si="3"/>
        <v>99.168722856835416</v>
      </c>
    </row>
    <row r="67" spans="1:8" x14ac:dyDescent="0.45">
      <c r="A67" s="1">
        <v>44992</v>
      </c>
      <c r="B67">
        <v>49</v>
      </c>
      <c r="C67" t="str">
        <f t="shared" ref="C67:C130" si="4">TEXT(A67, "aaaa")</f>
        <v>화요일</v>
      </c>
      <c r="E67" s="2">
        <f>($L$5*B66)+(1-$L$5)*E66</f>
        <v>90.370562703107481</v>
      </c>
      <c r="F67" s="2">
        <f t="shared" si="1"/>
        <v>84.118105999784788</v>
      </c>
      <c r="G67" s="2">
        <f t="shared" si="2"/>
        <v>-0.7943640239044516</v>
      </c>
      <c r="H67" s="2">
        <f t="shared" si="3"/>
        <v>83.323741975880338</v>
      </c>
    </row>
    <row r="68" spans="1:8" x14ac:dyDescent="0.45">
      <c r="A68" s="1">
        <v>44993</v>
      </c>
      <c r="B68">
        <v>79</v>
      </c>
      <c r="C68" t="str">
        <f t="shared" si="4"/>
        <v>수요일</v>
      </c>
      <c r="E68" s="2">
        <f>($L$5*B67)+(1-$L$5)*E67</f>
        <v>77.959393892175228</v>
      </c>
      <c r="F68" s="2">
        <f t="shared" ref="F68:F131" si="5">($L$5*B68)+(1-$L$5)*(F67+G67)</f>
        <v>82.026619383116227</v>
      </c>
      <c r="G68" s="2">
        <f t="shared" ref="G68:G131" si="6">($L$6*(F68-F67))+(1-$L$6)*G67</f>
        <v>-1.1835008017336843</v>
      </c>
      <c r="H68" s="2">
        <f t="shared" ref="H68:H131" si="7">F68+G68</f>
        <v>80.843118581382541</v>
      </c>
    </row>
    <row r="69" spans="1:8" x14ac:dyDescent="0.45">
      <c r="A69" s="1">
        <v>44994</v>
      </c>
      <c r="B69">
        <v>78</v>
      </c>
      <c r="C69" t="str">
        <f t="shared" si="4"/>
        <v>목요일</v>
      </c>
      <c r="E69" s="2">
        <f>($L$5*B68)+(1-$L$5)*E68</f>
        <v>78.271575724522663</v>
      </c>
      <c r="F69" s="2">
        <f t="shared" si="5"/>
        <v>79.990183006967783</v>
      </c>
      <c r="G69" s="2">
        <f t="shared" si="6"/>
        <v>-1.4393814740581121</v>
      </c>
      <c r="H69" s="2">
        <f t="shared" si="7"/>
        <v>78.550801532909674</v>
      </c>
    </row>
    <row r="70" spans="1:8" x14ac:dyDescent="0.45">
      <c r="A70" s="1">
        <v>44995</v>
      </c>
      <c r="B70">
        <v>73</v>
      </c>
      <c r="C70" t="str">
        <f t="shared" si="4"/>
        <v>금요일</v>
      </c>
      <c r="E70" s="2">
        <f>($L$5*B69)+(1-$L$5)*E69</f>
        <v>78.19010300716586</v>
      </c>
      <c r="F70" s="2">
        <f t="shared" si="5"/>
        <v>76.885561073036769</v>
      </c>
      <c r="G70" s="2">
        <f t="shared" si="6"/>
        <v>-1.9389536120199826</v>
      </c>
      <c r="H70" s="2">
        <f t="shared" si="7"/>
        <v>74.946607461016782</v>
      </c>
    </row>
    <row r="71" spans="1:8" x14ac:dyDescent="0.45">
      <c r="A71" s="1">
        <v>44996</v>
      </c>
      <c r="B71">
        <v>73</v>
      </c>
      <c r="C71" t="str">
        <f t="shared" si="4"/>
        <v>토요일</v>
      </c>
      <c r="E71" s="2">
        <f>($L$5*B70)+(1-$L$5)*E70</f>
        <v>76.633072105016097</v>
      </c>
      <c r="F71" s="2">
        <f t="shared" si="5"/>
        <v>74.362625222711742</v>
      </c>
      <c r="G71" s="2">
        <f t="shared" si="6"/>
        <v>-2.1141482835114958</v>
      </c>
      <c r="H71" s="2">
        <f t="shared" si="7"/>
        <v>72.248476939200245</v>
      </c>
    </row>
    <row r="72" spans="1:8" x14ac:dyDescent="0.45">
      <c r="A72" s="1">
        <v>44997</v>
      </c>
      <c r="B72">
        <v>72</v>
      </c>
      <c r="C72" t="str">
        <f t="shared" si="4"/>
        <v>일요일</v>
      </c>
      <c r="E72" s="2">
        <f>($L$5*B71)+(1-$L$5)*E71</f>
        <v>75.543150473511261</v>
      </c>
      <c r="F72" s="2">
        <f t="shared" si="5"/>
        <v>72.173933857440161</v>
      </c>
      <c r="G72" s="2">
        <f t="shared" si="6"/>
        <v>-2.1365112080395212</v>
      </c>
      <c r="H72" s="2">
        <f t="shared" si="7"/>
        <v>70.037422649400639</v>
      </c>
    </row>
    <row r="73" spans="1:8" x14ac:dyDescent="0.45">
      <c r="A73" s="1">
        <v>44998</v>
      </c>
      <c r="B73">
        <v>90</v>
      </c>
      <c r="C73" t="str">
        <f t="shared" si="4"/>
        <v>월요일</v>
      </c>
      <c r="E73" s="2">
        <f>($L$5*B72)+(1-$L$5)*E72</f>
        <v>74.480205331457881</v>
      </c>
      <c r="F73" s="2">
        <f t="shared" si="5"/>
        <v>76.026195854580436</v>
      </c>
      <c r="G73" s="2">
        <f t="shared" si="6"/>
        <v>-0.33987924648558243</v>
      </c>
      <c r="H73" s="2">
        <f t="shared" si="7"/>
        <v>75.686316608094856</v>
      </c>
    </row>
    <row r="74" spans="1:8" x14ac:dyDescent="0.45">
      <c r="A74" s="1">
        <v>44999</v>
      </c>
      <c r="B74">
        <v>41</v>
      </c>
      <c r="C74" t="str">
        <f t="shared" si="4"/>
        <v>화요일</v>
      </c>
      <c r="E74" s="2">
        <f>($L$5*B73)+(1-$L$5)*E73</f>
        <v>79.136143732020514</v>
      </c>
      <c r="F74" s="2">
        <f t="shared" si="5"/>
        <v>65.280421625666392</v>
      </c>
      <c r="G74" s="2">
        <f t="shared" si="6"/>
        <v>-3.4616477412141209</v>
      </c>
      <c r="H74" s="2">
        <f t="shared" si="7"/>
        <v>61.81877388445227</v>
      </c>
    </row>
    <row r="75" spans="1:8" x14ac:dyDescent="0.45">
      <c r="A75" s="1">
        <v>45000</v>
      </c>
      <c r="B75">
        <v>100</v>
      </c>
      <c r="C75" t="str">
        <f t="shared" si="4"/>
        <v>수요일</v>
      </c>
      <c r="E75" s="2">
        <f>($L$5*B74)+(1-$L$5)*E74</f>
        <v>67.695300612414357</v>
      </c>
      <c r="F75" s="2">
        <f t="shared" si="5"/>
        <v>73.27314171911658</v>
      </c>
      <c r="G75" s="2">
        <f t="shared" si="6"/>
        <v>-2.5337390814828442E-2</v>
      </c>
      <c r="H75" s="2">
        <f t="shared" si="7"/>
        <v>73.247804328301754</v>
      </c>
    </row>
    <row r="76" spans="1:8" x14ac:dyDescent="0.45">
      <c r="A76" s="1">
        <v>45001</v>
      </c>
      <c r="B76">
        <v>79</v>
      </c>
      <c r="C76" t="str">
        <f t="shared" si="4"/>
        <v>목요일</v>
      </c>
      <c r="E76" s="2">
        <f>($L$5*B75)+(1-$L$5)*E75</f>
        <v>77.386710428690037</v>
      </c>
      <c r="F76" s="2">
        <f t="shared" si="5"/>
        <v>74.973463029811228</v>
      </c>
      <c r="G76" s="2">
        <f t="shared" si="6"/>
        <v>0.49236021963801435</v>
      </c>
      <c r="H76" s="2">
        <f t="shared" si="7"/>
        <v>75.465823249449244</v>
      </c>
    </row>
    <row r="77" spans="1:8" x14ac:dyDescent="0.45">
      <c r="A77" s="1">
        <v>45002</v>
      </c>
      <c r="B77">
        <v>54</v>
      </c>
      <c r="C77" t="str">
        <f t="shared" si="4"/>
        <v>금요일</v>
      </c>
      <c r="E77" s="2">
        <f>($L$5*B76)+(1-$L$5)*E76</f>
        <v>77.870697300083023</v>
      </c>
      <c r="F77" s="2">
        <f t="shared" si="5"/>
        <v>69.026076274614468</v>
      </c>
      <c r="G77" s="2">
        <f t="shared" si="6"/>
        <v>-1.4395638728124178</v>
      </c>
      <c r="H77" s="2">
        <f t="shared" si="7"/>
        <v>67.586512401802054</v>
      </c>
    </row>
    <row r="78" spans="1:8" x14ac:dyDescent="0.45">
      <c r="A78" s="1">
        <v>45003</v>
      </c>
      <c r="B78">
        <v>84</v>
      </c>
      <c r="C78" t="str">
        <f t="shared" si="4"/>
        <v>토요일</v>
      </c>
      <c r="E78" s="2">
        <f>($L$5*B77)+(1-$L$5)*E77</f>
        <v>70.709488110058118</v>
      </c>
      <c r="F78" s="2">
        <f t="shared" si="5"/>
        <v>72.510558681261429</v>
      </c>
      <c r="G78" s="2">
        <f t="shared" si="6"/>
        <v>3.7650011025395891E-2</v>
      </c>
      <c r="H78" s="2">
        <f t="shared" si="7"/>
        <v>72.548208692286821</v>
      </c>
    </row>
    <row r="79" spans="1:8" x14ac:dyDescent="0.45">
      <c r="A79" s="1">
        <v>45004</v>
      </c>
      <c r="B79">
        <v>79</v>
      </c>
      <c r="C79" t="str">
        <f t="shared" si="4"/>
        <v>일요일</v>
      </c>
      <c r="E79" s="2">
        <f>($L$5*B78)+(1-$L$5)*E78</f>
        <v>74.696641677040674</v>
      </c>
      <c r="F79" s="2">
        <f t="shared" si="5"/>
        <v>74.483746084600767</v>
      </c>
      <c r="G79" s="2">
        <f t="shared" si="6"/>
        <v>0.61831122871957855</v>
      </c>
      <c r="H79" s="2">
        <f t="shared" si="7"/>
        <v>75.102057313320344</v>
      </c>
    </row>
    <row r="80" spans="1:8" x14ac:dyDescent="0.45">
      <c r="A80" s="1">
        <v>45005</v>
      </c>
      <c r="B80">
        <v>78</v>
      </c>
      <c r="C80" t="str">
        <f t="shared" si="4"/>
        <v>월요일</v>
      </c>
      <c r="E80" s="2">
        <f>($L$5*B79)+(1-$L$5)*E79</f>
        <v>75.987649173928475</v>
      </c>
      <c r="F80" s="2">
        <f t="shared" si="5"/>
        <v>75.971440119324228</v>
      </c>
      <c r="G80" s="2">
        <f t="shared" si="6"/>
        <v>0.87912607052074321</v>
      </c>
      <c r="H80" s="2">
        <f t="shared" si="7"/>
        <v>76.850566189844969</v>
      </c>
    </row>
    <row r="81" spans="1:8" x14ac:dyDescent="0.45">
      <c r="A81" s="1">
        <v>45006</v>
      </c>
      <c r="B81">
        <v>81</v>
      </c>
      <c r="C81" t="str">
        <f t="shared" si="4"/>
        <v>화요일</v>
      </c>
      <c r="E81" s="2">
        <f>($L$5*B80)+(1-$L$5)*E80</f>
        <v>76.591354421749926</v>
      </c>
      <c r="F81" s="2">
        <f t="shared" si="5"/>
        <v>78.095396332891482</v>
      </c>
      <c r="G81" s="2">
        <f t="shared" si="6"/>
        <v>1.2525751134346965</v>
      </c>
      <c r="H81" s="2">
        <f t="shared" si="7"/>
        <v>79.347971446326184</v>
      </c>
    </row>
    <row r="82" spans="1:8" x14ac:dyDescent="0.45">
      <c r="A82" s="1">
        <v>45007</v>
      </c>
      <c r="B82">
        <v>89</v>
      </c>
      <c r="C82" t="str">
        <f t="shared" si="4"/>
        <v>수요일</v>
      </c>
      <c r="E82" s="2">
        <f>($L$5*B81)+(1-$L$5)*E81</f>
        <v>77.913948095224953</v>
      </c>
      <c r="F82" s="2">
        <f t="shared" si="5"/>
        <v>82.243580012428325</v>
      </c>
      <c r="G82" s="2">
        <f t="shared" si="6"/>
        <v>2.1212576832653403</v>
      </c>
      <c r="H82" s="2">
        <f t="shared" si="7"/>
        <v>84.364837695693666</v>
      </c>
    </row>
    <row r="83" spans="1:8" x14ac:dyDescent="0.45">
      <c r="A83" s="1">
        <v>45008</v>
      </c>
      <c r="B83">
        <v>98</v>
      </c>
      <c r="C83" t="str">
        <f t="shared" si="4"/>
        <v>목요일</v>
      </c>
      <c r="E83" s="2">
        <f>($L$5*B82)+(1-$L$5)*E82</f>
        <v>81.239763666657467</v>
      </c>
      <c r="F83" s="2">
        <f t="shared" si="5"/>
        <v>88.455386386985566</v>
      </c>
      <c r="G83" s="2">
        <f t="shared" si="6"/>
        <v>3.3484222906529104</v>
      </c>
      <c r="H83" s="2">
        <f t="shared" si="7"/>
        <v>91.803808677638472</v>
      </c>
    </row>
    <row r="84" spans="1:8" x14ac:dyDescent="0.45">
      <c r="A84" s="1">
        <v>45009</v>
      </c>
      <c r="B84">
        <v>94</v>
      </c>
      <c r="C84" t="str">
        <f t="shared" si="4"/>
        <v>금요일</v>
      </c>
      <c r="E84" s="2">
        <f>($L$5*B83)+(1-$L$5)*E83</f>
        <v>86.267834566660213</v>
      </c>
      <c r="F84" s="2">
        <f t="shared" si="5"/>
        <v>92.462666074346927</v>
      </c>
      <c r="G84" s="2">
        <f t="shared" si="6"/>
        <v>3.5460795096654456</v>
      </c>
      <c r="H84" s="2">
        <f t="shared" si="7"/>
        <v>96.008745584012374</v>
      </c>
    </row>
    <row r="85" spans="1:8" x14ac:dyDescent="0.45">
      <c r="A85" s="1">
        <v>45010</v>
      </c>
      <c r="B85">
        <v>91</v>
      </c>
      <c r="C85" t="str">
        <f t="shared" si="4"/>
        <v>토요일</v>
      </c>
      <c r="E85" s="2">
        <f>($L$5*B84)+(1-$L$5)*E84</f>
        <v>88.587484196662146</v>
      </c>
      <c r="F85" s="2">
        <f t="shared" si="5"/>
        <v>94.506121908808652</v>
      </c>
      <c r="G85" s="2">
        <f t="shared" si="6"/>
        <v>3.0952924071043291</v>
      </c>
      <c r="H85" s="2">
        <f t="shared" si="7"/>
        <v>97.601414315912976</v>
      </c>
    </row>
    <row r="86" spans="1:8" x14ac:dyDescent="0.45">
      <c r="A86" s="1">
        <v>45011</v>
      </c>
      <c r="B86">
        <v>69</v>
      </c>
      <c r="C86" t="str">
        <f t="shared" si="4"/>
        <v>일요일</v>
      </c>
      <c r="E86" s="2">
        <f>($L$5*B85)+(1-$L$5)*E85</f>
        <v>89.311238937663504</v>
      </c>
      <c r="F86" s="2">
        <f t="shared" si="5"/>
        <v>89.020990021139085</v>
      </c>
      <c r="G86" s="2">
        <f t="shared" si="6"/>
        <v>0.52116511867215998</v>
      </c>
      <c r="H86" s="2">
        <f t="shared" si="7"/>
        <v>89.542155139811243</v>
      </c>
    </row>
    <row r="87" spans="1:8" x14ac:dyDescent="0.45">
      <c r="A87" s="1">
        <v>45012</v>
      </c>
      <c r="B87">
        <v>108</v>
      </c>
      <c r="C87" t="str">
        <f t="shared" si="4"/>
        <v>월요일</v>
      </c>
      <c r="E87" s="2">
        <f>($L$5*B86)+(1-$L$5)*E86</f>
        <v>83.217867256364443</v>
      </c>
      <c r="F87" s="2">
        <f t="shared" si="5"/>
        <v>95.079508597867857</v>
      </c>
      <c r="G87" s="2">
        <f t="shared" si="6"/>
        <v>2.1823711560891437</v>
      </c>
      <c r="H87" s="2">
        <f t="shared" si="7"/>
        <v>97.261879753957004</v>
      </c>
    </row>
    <row r="88" spans="1:8" x14ac:dyDescent="0.45">
      <c r="A88" s="1">
        <v>45013</v>
      </c>
      <c r="B88">
        <v>72</v>
      </c>
      <c r="C88" t="str">
        <f t="shared" si="4"/>
        <v>화요일</v>
      </c>
      <c r="E88" s="2">
        <f>($L$5*B87)+(1-$L$5)*E87</f>
        <v>90.652507079455106</v>
      </c>
      <c r="F88" s="2">
        <f t="shared" si="5"/>
        <v>89.683315827769889</v>
      </c>
      <c r="G88" s="2">
        <f t="shared" si="6"/>
        <v>-9.1198021766990101E-2</v>
      </c>
      <c r="H88" s="2">
        <f t="shared" si="7"/>
        <v>89.592117806002904</v>
      </c>
    </row>
    <row r="89" spans="1:8" x14ac:dyDescent="0.45">
      <c r="A89" s="1">
        <v>45014</v>
      </c>
      <c r="B89">
        <v>77</v>
      </c>
      <c r="C89" t="str">
        <f t="shared" si="4"/>
        <v>수요일</v>
      </c>
      <c r="E89" s="2">
        <f>($L$5*B88)+(1-$L$5)*E88</f>
        <v>85.056754955618572</v>
      </c>
      <c r="F89" s="2">
        <f t="shared" si="5"/>
        <v>85.81448246420203</v>
      </c>
      <c r="G89" s="2">
        <f t="shared" si="6"/>
        <v>-1.2244886243072506</v>
      </c>
      <c r="H89" s="2">
        <f t="shared" si="7"/>
        <v>84.589993839894774</v>
      </c>
    </row>
    <row r="90" spans="1:8" x14ac:dyDescent="0.45">
      <c r="A90" s="1">
        <v>45015</v>
      </c>
      <c r="B90">
        <v>59</v>
      </c>
      <c r="C90" t="str">
        <f t="shared" si="4"/>
        <v>목요일</v>
      </c>
      <c r="E90" s="2">
        <f>($L$5*B89)+(1-$L$5)*E89</f>
        <v>82.639728468933001</v>
      </c>
      <c r="F90" s="2">
        <f t="shared" si="5"/>
        <v>76.91299568792634</v>
      </c>
      <c r="G90" s="2">
        <f t="shared" si="6"/>
        <v>-3.5275880698977824</v>
      </c>
      <c r="H90" s="2">
        <f t="shared" si="7"/>
        <v>73.385407618028552</v>
      </c>
    </row>
    <row r="91" spans="1:8" x14ac:dyDescent="0.45">
      <c r="A91" s="1">
        <v>45016</v>
      </c>
      <c r="B91">
        <v>68</v>
      </c>
      <c r="C91" t="str">
        <f t="shared" si="4"/>
        <v>금요일</v>
      </c>
      <c r="E91" s="2">
        <f>($L$5*B90)+(1-$L$5)*E90</f>
        <v>75.547809928253102</v>
      </c>
      <c r="F91" s="2">
        <f t="shared" si="5"/>
        <v>71.769785332619989</v>
      </c>
      <c r="G91" s="2">
        <f t="shared" si="6"/>
        <v>-4.0122747555203535</v>
      </c>
      <c r="H91" s="2">
        <f t="shared" si="7"/>
        <v>67.757510577099637</v>
      </c>
    </row>
    <row r="92" spans="1:8" x14ac:dyDescent="0.45">
      <c r="A92" s="1">
        <v>45017</v>
      </c>
      <c r="B92">
        <v>95</v>
      </c>
      <c r="C92" t="str">
        <f t="shared" si="4"/>
        <v>토요일</v>
      </c>
      <c r="E92" s="2">
        <f>($L$5*B91)+(1-$L$5)*E91</f>
        <v>73.283466949777164</v>
      </c>
      <c r="F92" s="2">
        <f t="shared" si="5"/>
        <v>75.930257403969733</v>
      </c>
      <c r="G92" s="2">
        <f t="shared" si="6"/>
        <v>-1.5604507074593241</v>
      </c>
      <c r="H92" s="2">
        <f t="shared" si="7"/>
        <v>74.369806696510409</v>
      </c>
    </row>
    <row r="93" spans="1:8" x14ac:dyDescent="0.45">
      <c r="A93" s="1">
        <v>45018</v>
      </c>
      <c r="B93">
        <v>98</v>
      </c>
      <c r="C93" t="str">
        <f t="shared" si="4"/>
        <v>일요일</v>
      </c>
      <c r="E93" s="2">
        <f>($L$5*B92)+(1-$L$5)*E92</f>
        <v>79.798426864844004</v>
      </c>
      <c r="F93" s="2">
        <f t="shared" si="5"/>
        <v>81.458864687557281</v>
      </c>
      <c r="G93" s="2">
        <f t="shared" si="6"/>
        <v>0.56626668985473727</v>
      </c>
      <c r="H93" s="2">
        <f t="shared" si="7"/>
        <v>82.025131377412023</v>
      </c>
    </row>
    <row r="94" spans="1:8" x14ac:dyDescent="0.45">
      <c r="A94" s="1">
        <v>45019</v>
      </c>
      <c r="B94">
        <v>120</v>
      </c>
      <c r="C94" t="str">
        <f t="shared" si="4"/>
        <v>월요일</v>
      </c>
      <c r="E94" s="2">
        <f>($L$5*B93)+(1-$L$5)*E93</f>
        <v>85.2588988053908</v>
      </c>
      <c r="F94" s="2">
        <f t="shared" si="5"/>
        <v>93.417591964188404</v>
      </c>
      <c r="G94" s="2">
        <f t="shared" si="6"/>
        <v>3.9840048658876532</v>
      </c>
      <c r="H94" s="2">
        <f t="shared" si="7"/>
        <v>97.401596830076059</v>
      </c>
    </row>
    <row r="95" spans="1:8" x14ac:dyDescent="0.45">
      <c r="A95" s="1">
        <v>45020</v>
      </c>
      <c r="B95">
        <v>110</v>
      </c>
      <c r="C95" t="str">
        <f t="shared" si="4"/>
        <v>화요일</v>
      </c>
      <c r="E95" s="2">
        <f>($L$5*B94)+(1-$L$5)*E94</f>
        <v>95.681229163773565</v>
      </c>
      <c r="F95" s="2">
        <f t="shared" si="5"/>
        <v>101.18111778105323</v>
      </c>
      <c r="G95" s="2">
        <f t="shared" si="6"/>
        <v>5.1178611511808052</v>
      </c>
      <c r="H95" s="2">
        <f t="shared" si="7"/>
        <v>106.29897893223404</v>
      </c>
    </row>
    <row r="96" spans="1:8" x14ac:dyDescent="0.45">
      <c r="A96" s="1">
        <v>45021</v>
      </c>
      <c r="B96">
        <v>108</v>
      </c>
      <c r="C96" t="str">
        <f t="shared" si="4"/>
        <v>수요일</v>
      </c>
      <c r="E96" s="2">
        <f>($L$5*B95)+(1-$L$5)*E95</f>
        <v>99.976860414641493</v>
      </c>
      <c r="F96" s="2">
        <f t="shared" si="5"/>
        <v>106.80928525256382</v>
      </c>
      <c r="G96" s="2">
        <f t="shared" si="6"/>
        <v>5.2709530472797415</v>
      </c>
      <c r="H96" s="2">
        <f t="shared" si="7"/>
        <v>112.08023829984357</v>
      </c>
    </row>
    <row r="97" spans="1:8" x14ac:dyDescent="0.45">
      <c r="A97" s="1">
        <v>45022</v>
      </c>
      <c r="B97">
        <v>98</v>
      </c>
      <c r="C97" t="str">
        <f t="shared" si="4"/>
        <v>목요일</v>
      </c>
      <c r="E97" s="2">
        <f>($L$5*B96)+(1-$L$5)*E96</f>
        <v>102.38380229024904</v>
      </c>
      <c r="F97" s="2">
        <f t="shared" si="5"/>
        <v>107.85616680989048</v>
      </c>
      <c r="G97" s="2">
        <f t="shared" si="6"/>
        <v>4.0037316002938157</v>
      </c>
      <c r="H97" s="2">
        <f t="shared" si="7"/>
        <v>111.8598984101843</v>
      </c>
    </row>
    <row r="98" spans="1:8" x14ac:dyDescent="0.45">
      <c r="A98" s="1">
        <v>45023</v>
      </c>
      <c r="B98">
        <v>72</v>
      </c>
      <c r="C98" t="str">
        <f t="shared" si="4"/>
        <v>금요일</v>
      </c>
      <c r="E98" s="2">
        <f>($L$5*B97)+(1-$L$5)*E97</f>
        <v>101.06866160317432</v>
      </c>
      <c r="F98" s="2">
        <f t="shared" si="5"/>
        <v>99.901928887129003</v>
      </c>
      <c r="G98" s="2">
        <f t="shared" si="6"/>
        <v>0.41634074337722726</v>
      </c>
      <c r="H98" s="2">
        <f t="shared" si="7"/>
        <v>100.31826963050624</v>
      </c>
    </row>
    <row r="99" spans="1:8" x14ac:dyDescent="0.45">
      <c r="A99" s="1">
        <v>45024</v>
      </c>
      <c r="B99">
        <v>93</v>
      </c>
      <c r="C99" t="str">
        <f t="shared" si="4"/>
        <v>토요일</v>
      </c>
      <c r="E99" s="2">
        <f>($L$5*B98)+(1-$L$5)*E98</f>
        <v>92.348063122222015</v>
      </c>
      <c r="F99" s="2">
        <f t="shared" si="5"/>
        <v>98.122788741354356</v>
      </c>
      <c r="G99" s="2">
        <f t="shared" si="6"/>
        <v>-0.24230352336833516</v>
      </c>
      <c r="H99" s="2">
        <f t="shared" si="7"/>
        <v>97.880485217986021</v>
      </c>
    </row>
    <row r="100" spans="1:8" x14ac:dyDescent="0.45">
      <c r="A100" s="1">
        <v>45025</v>
      </c>
      <c r="B100">
        <v>96</v>
      </c>
      <c r="C100" t="str">
        <f t="shared" si="4"/>
        <v>일요일</v>
      </c>
      <c r="E100" s="2">
        <f>($L$5*B99)+(1-$L$5)*E99</f>
        <v>92.543644185555394</v>
      </c>
      <c r="F100" s="2">
        <f t="shared" si="5"/>
        <v>97.316339652590202</v>
      </c>
      <c r="G100" s="2">
        <f t="shared" si="6"/>
        <v>-0.41154719298708081</v>
      </c>
      <c r="H100" s="2">
        <f t="shared" si="7"/>
        <v>96.904792459603115</v>
      </c>
    </row>
    <row r="101" spans="1:8" x14ac:dyDescent="0.45">
      <c r="A101" s="1">
        <v>45026</v>
      </c>
      <c r="B101">
        <v>88</v>
      </c>
      <c r="C101" t="str">
        <f t="shared" si="4"/>
        <v>월요일</v>
      </c>
      <c r="E101" s="2">
        <f>($L$5*B100)+(1-$L$5)*E100</f>
        <v>93.580550929888773</v>
      </c>
      <c r="F101" s="2">
        <f t="shared" si="5"/>
        <v>94.233354721722179</v>
      </c>
      <c r="G101" s="2">
        <f t="shared" si="6"/>
        <v>-1.2129785143513634</v>
      </c>
      <c r="H101" s="2">
        <f t="shared" si="7"/>
        <v>93.020376207370816</v>
      </c>
    </row>
    <row r="102" spans="1:8" x14ac:dyDescent="0.45">
      <c r="A102" s="1">
        <v>45027</v>
      </c>
      <c r="B102">
        <v>92</v>
      </c>
      <c r="C102" t="str">
        <f t="shared" si="4"/>
        <v>화요일</v>
      </c>
      <c r="E102" s="2">
        <f>($L$5*B101)+(1-$L$5)*E101</f>
        <v>91.906385650922147</v>
      </c>
      <c r="F102" s="2">
        <f t="shared" si="5"/>
        <v>92.714263345159566</v>
      </c>
      <c r="G102" s="2">
        <f t="shared" si="6"/>
        <v>-1.3048123730147383</v>
      </c>
      <c r="H102" s="2">
        <f t="shared" si="7"/>
        <v>91.409450972144825</v>
      </c>
    </row>
    <row r="103" spans="1:8" x14ac:dyDescent="0.45">
      <c r="A103" s="1">
        <v>45028</v>
      </c>
      <c r="B103">
        <v>98</v>
      </c>
      <c r="C103" t="str">
        <f t="shared" si="4"/>
        <v>수요일</v>
      </c>
      <c r="E103" s="2">
        <f>($L$5*B102)+(1-$L$5)*E102</f>
        <v>91.934469955645497</v>
      </c>
      <c r="F103" s="2">
        <f t="shared" si="5"/>
        <v>93.386615680501365</v>
      </c>
      <c r="G103" s="2">
        <f t="shared" si="6"/>
        <v>-0.71166296050777711</v>
      </c>
      <c r="H103" s="2">
        <f t="shared" si="7"/>
        <v>92.674952719993584</v>
      </c>
    </row>
    <row r="104" spans="1:8" x14ac:dyDescent="0.45">
      <c r="A104" s="1">
        <v>45029</v>
      </c>
      <c r="B104">
        <v>109</v>
      </c>
      <c r="C104" t="str">
        <f t="shared" si="4"/>
        <v>목요일</v>
      </c>
      <c r="E104" s="2">
        <f>($L$5*B103)+(1-$L$5)*E103</f>
        <v>93.754128968951846</v>
      </c>
      <c r="F104" s="2">
        <f t="shared" si="5"/>
        <v>97.57246690399549</v>
      </c>
      <c r="G104" s="2">
        <f t="shared" si="6"/>
        <v>0.75759129469279385</v>
      </c>
      <c r="H104" s="2">
        <f t="shared" si="7"/>
        <v>98.330058198688278</v>
      </c>
    </row>
    <row r="105" spans="1:8" x14ac:dyDescent="0.45">
      <c r="A105" s="1">
        <v>45030</v>
      </c>
      <c r="B105">
        <v>76</v>
      </c>
      <c r="C105" t="str">
        <f t="shared" si="4"/>
        <v>금요일</v>
      </c>
      <c r="E105" s="2">
        <f>($L$5*B104)+(1-$L$5)*E104</f>
        <v>98.327890278266295</v>
      </c>
      <c r="F105" s="2">
        <f t="shared" si="5"/>
        <v>91.631040739081783</v>
      </c>
      <c r="G105" s="2">
        <f t="shared" si="6"/>
        <v>-1.2521139431891566</v>
      </c>
      <c r="H105" s="2">
        <f t="shared" si="7"/>
        <v>90.378926795892625</v>
      </c>
    </row>
    <row r="106" spans="1:8" x14ac:dyDescent="0.45">
      <c r="A106" s="1">
        <v>45031</v>
      </c>
      <c r="B106">
        <v>127</v>
      </c>
      <c r="C106" t="str">
        <f t="shared" si="4"/>
        <v>토요일</v>
      </c>
      <c r="E106" s="2">
        <f>($L$5*B105)+(1-$L$5)*E105</f>
        <v>91.629523194786401</v>
      </c>
      <c r="F106" s="2">
        <f t="shared" si="5"/>
        <v>101.36524875712483</v>
      </c>
      <c r="G106" s="2">
        <f t="shared" si="6"/>
        <v>2.0437826451805048</v>
      </c>
      <c r="H106" s="2">
        <f t="shared" si="7"/>
        <v>103.40903140230533</v>
      </c>
    </row>
    <row r="107" spans="1:8" x14ac:dyDescent="0.45">
      <c r="A107" s="1">
        <v>45032</v>
      </c>
      <c r="B107">
        <v>103</v>
      </c>
      <c r="C107" t="str">
        <f t="shared" si="4"/>
        <v>일요일</v>
      </c>
      <c r="E107" s="2">
        <f>($L$5*B106)+(1-$L$5)*E106</f>
        <v>102.24066623635048</v>
      </c>
      <c r="F107" s="2">
        <f t="shared" si="5"/>
        <v>103.28632198161372</v>
      </c>
      <c r="G107" s="2">
        <f t="shared" si="6"/>
        <v>2.0069698189730212</v>
      </c>
      <c r="H107" s="2">
        <f t="shared" si="7"/>
        <v>105.29329180058674</v>
      </c>
    </row>
    <row r="108" spans="1:8" x14ac:dyDescent="0.45">
      <c r="A108" s="1">
        <v>45033</v>
      </c>
      <c r="B108">
        <v>66</v>
      </c>
      <c r="C108" t="str">
        <f t="shared" si="4"/>
        <v>월요일</v>
      </c>
      <c r="E108" s="2">
        <f>($L$5*B107)+(1-$L$5)*E107</f>
        <v>102.46846636544532</v>
      </c>
      <c r="F108" s="2">
        <f t="shared" si="5"/>
        <v>93.505304260410711</v>
      </c>
      <c r="G108" s="2">
        <f t="shared" si="6"/>
        <v>-1.5294264430797895</v>
      </c>
      <c r="H108" s="2">
        <f t="shared" si="7"/>
        <v>91.975877817330925</v>
      </c>
    </row>
    <row r="109" spans="1:8" x14ac:dyDescent="0.45">
      <c r="A109" s="1">
        <v>45034</v>
      </c>
      <c r="B109">
        <v>96</v>
      </c>
      <c r="C109" t="str">
        <f t="shared" si="4"/>
        <v>화요일</v>
      </c>
      <c r="E109" s="2">
        <f>($L$5*B108)+(1-$L$5)*E108</f>
        <v>91.527926455811723</v>
      </c>
      <c r="F109" s="2">
        <f t="shared" si="5"/>
        <v>93.183114472131635</v>
      </c>
      <c r="G109" s="2">
        <f t="shared" si="6"/>
        <v>-1.1672554466395753</v>
      </c>
      <c r="H109" s="2">
        <f t="shared" si="7"/>
        <v>92.015859025492063</v>
      </c>
    </row>
    <row r="110" spans="1:8" x14ac:dyDescent="0.45">
      <c r="A110" s="1">
        <v>45035</v>
      </c>
      <c r="B110">
        <v>85</v>
      </c>
      <c r="C110" t="str">
        <f t="shared" si="4"/>
        <v>수요일</v>
      </c>
      <c r="E110" s="2">
        <f>($L$5*B109)+(1-$L$5)*E109</f>
        <v>92.869548519068204</v>
      </c>
      <c r="F110" s="2">
        <f t="shared" si="5"/>
        <v>89.911101317844441</v>
      </c>
      <c r="G110" s="2">
        <f t="shared" si="6"/>
        <v>-1.7986827589338608</v>
      </c>
      <c r="H110" s="2">
        <f t="shared" si="7"/>
        <v>88.112418558910576</v>
      </c>
    </row>
    <row r="111" spans="1:8" x14ac:dyDescent="0.45">
      <c r="A111" s="1">
        <v>45036</v>
      </c>
      <c r="B111">
        <v>85</v>
      </c>
      <c r="C111" t="str">
        <f t="shared" si="4"/>
        <v>목요일</v>
      </c>
      <c r="E111" s="2">
        <f>($L$5*B110)+(1-$L$5)*E110</f>
        <v>90.508683963347735</v>
      </c>
      <c r="F111" s="2">
        <f t="shared" si="5"/>
        <v>87.178692991237398</v>
      </c>
      <c r="G111" s="2">
        <f t="shared" si="6"/>
        <v>-2.0788004292358151</v>
      </c>
      <c r="H111" s="2">
        <f t="shared" si="7"/>
        <v>85.099892562001585</v>
      </c>
    </row>
    <row r="112" spans="1:8" x14ac:dyDescent="0.45">
      <c r="A112" s="1">
        <v>45037</v>
      </c>
      <c r="B112">
        <v>86</v>
      </c>
      <c r="C112" t="str">
        <f t="shared" si="4"/>
        <v>금요일</v>
      </c>
      <c r="E112" s="2">
        <f>($L$5*B111)+(1-$L$5)*E111</f>
        <v>88.856078774343416</v>
      </c>
      <c r="F112" s="2">
        <f t="shared" si="5"/>
        <v>85.369924793401111</v>
      </c>
      <c r="G112" s="2">
        <f t="shared" si="6"/>
        <v>-1.9977907598159563</v>
      </c>
      <c r="H112" s="2">
        <f t="shared" si="7"/>
        <v>83.372134033585155</v>
      </c>
    </row>
    <row r="113" spans="1:8" x14ac:dyDescent="0.45">
      <c r="A113" s="1">
        <v>45038</v>
      </c>
      <c r="B113">
        <v>103</v>
      </c>
      <c r="C113" t="str">
        <f t="shared" si="4"/>
        <v>토요일</v>
      </c>
      <c r="E113" s="2">
        <f>($L$5*B112)+(1-$L$5)*E112</f>
        <v>87.999255142040383</v>
      </c>
      <c r="F113" s="2">
        <f t="shared" si="5"/>
        <v>89.260493823509606</v>
      </c>
      <c r="G113" s="2">
        <f t="shared" si="6"/>
        <v>-0.231282822838621</v>
      </c>
      <c r="H113" s="2">
        <f t="shared" si="7"/>
        <v>89.029211000670983</v>
      </c>
    </row>
    <row r="114" spans="1:8" x14ac:dyDescent="0.45">
      <c r="A114" s="1">
        <v>45039</v>
      </c>
      <c r="B114">
        <v>116</v>
      </c>
      <c r="C114" t="str">
        <f t="shared" si="4"/>
        <v>일요일</v>
      </c>
      <c r="E114" s="2">
        <f>($L$5*B113)+(1-$L$5)*E113</f>
        <v>92.499478599428272</v>
      </c>
      <c r="F114" s="2">
        <f t="shared" si="5"/>
        <v>97.120447700469683</v>
      </c>
      <c r="G114" s="2">
        <f t="shared" si="6"/>
        <v>2.1960881871009885</v>
      </c>
      <c r="H114" s="2">
        <f t="shared" si="7"/>
        <v>99.316535887570666</v>
      </c>
    </row>
    <row r="115" spans="1:8" x14ac:dyDescent="0.45">
      <c r="A115" s="1">
        <v>45040</v>
      </c>
      <c r="B115">
        <v>121</v>
      </c>
      <c r="C115" t="str">
        <f t="shared" si="4"/>
        <v>월요일</v>
      </c>
      <c r="E115" s="2">
        <f>($L$5*B114)+(1-$L$5)*E114</f>
        <v>99.549635019599791</v>
      </c>
      <c r="F115" s="2">
        <f t="shared" si="5"/>
        <v>105.82157512129946</v>
      </c>
      <c r="G115" s="2">
        <f t="shared" si="6"/>
        <v>4.1475999572196258</v>
      </c>
      <c r="H115" s="2">
        <f t="shared" si="7"/>
        <v>109.96917507851909</v>
      </c>
    </row>
    <row r="116" spans="1:8" x14ac:dyDescent="0.45">
      <c r="A116" s="1">
        <v>45041</v>
      </c>
      <c r="B116">
        <v>115</v>
      </c>
      <c r="C116" t="str">
        <f t="shared" si="4"/>
        <v>화요일</v>
      </c>
      <c r="E116" s="2">
        <f>($L$5*B115)+(1-$L$5)*E115</f>
        <v>105.98474451371985</v>
      </c>
      <c r="F116" s="2">
        <f t="shared" si="5"/>
        <v>111.47842255496336</v>
      </c>
      <c r="G116" s="2">
        <f t="shared" si="6"/>
        <v>4.600374200152908</v>
      </c>
      <c r="H116" s="2">
        <f t="shared" si="7"/>
        <v>116.07879675511627</v>
      </c>
    </row>
    <row r="117" spans="1:8" x14ac:dyDescent="0.45">
      <c r="A117" s="1">
        <v>45042</v>
      </c>
      <c r="B117">
        <v>115</v>
      </c>
      <c r="C117" t="str">
        <f t="shared" si="4"/>
        <v>수요일</v>
      </c>
      <c r="E117" s="2">
        <f>($L$5*B116)+(1-$L$5)*E116</f>
        <v>108.68932115960389</v>
      </c>
      <c r="F117" s="2">
        <f t="shared" si="5"/>
        <v>115.75515772858138</v>
      </c>
      <c r="G117" s="2">
        <f t="shared" si="6"/>
        <v>4.5032824921924419</v>
      </c>
      <c r="H117" s="2">
        <f t="shared" si="7"/>
        <v>120.25844022077382</v>
      </c>
    </row>
    <row r="118" spans="1:8" x14ac:dyDescent="0.45">
      <c r="A118" s="1">
        <v>45043</v>
      </c>
      <c r="B118">
        <v>121</v>
      </c>
      <c r="C118" t="str">
        <f t="shared" si="4"/>
        <v>목요일</v>
      </c>
      <c r="E118" s="2">
        <f>($L$5*B117)+(1-$L$5)*E117</f>
        <v>110.58252481172272</v>
      </c>
      <c r="F118" s="2">
        <f t="shared" si="5"/>
        <v>120.48090815454167</v>
      </c>
      <c r="G118" s="2">
        <f t="shared" si="6"/>
        <v>4.5700228723227951</v>
      </c>
      <c r="H118" s="2">
        <f t="shared" si="7"/>
        <v>125.05093102686446</v>
      </c>
    </row>
    <row r="119" spans="1:8" x14ac:dyDescent="0.45">
      <c r="A119" s="1">
        <v>45044</v>
      </c>
      <c r="B119">
        <v>90</v>
      </c>
      <c r="C119" t="str">
        <f t="shared" si="4"/>
        <v>금요일</v>
      </c>
      <c r="E119" s="2">
        <f>($L$5*B118)+(1-$L$5)*E118</f>
        <v>113.70776736820589</v>
      </c>
      <c r="F119" s="2">
        <f t="shared" si="5"/>
        <v>114.53565171880511</v>
      </c>
      <c r="G119" s="2">
        <f t="shared" si="6"/>
        <v>1.4154390799049905</v>
      </c>
      <c r="H119" s="2">
        <f t="shared" si="7"/>
        <v>115.9510907987101</v>
      </c>
    </row>
    <row r="120" spans="1:8" x14ac:dyDescent="0.45">
      <c r="A120" s="1">
        <v>45045</v>
      </c>
      <c r="B120">
        <v>87</v>
      </c>
      <c r="C120" t="str">
        <f t="shared" si="4"/>
        <v>토요일</v>
      </c>
      <c r="E120" s="2">
        <f>($L$5*B119)+(1-$L$5)*E119</f>
        <v>106.59543715774412</v>
      </c>
      <c r="F120" s="2">
        <f t="shared" si="5"/>
        <v>107.26576355909705</v>
      </c>
      <c r="G120" s="2">
        <f t="shared" si="6"/>
        <v>-1.1901590919789247</v>
      </c>
      <c r="H120" s="2">
        <f t="shared" si="7"/>
        <v>106.07560446711813</v>
      </c>
    </row>
    <row r="121" spans="1:8" x14ac:dyDescent="0.45">
      <c r="A121" s="1">
        <v>45046</v>
      </c>
      <c r="B121">
        <v>83</v>
      </c>
      <c r="C121" t="str">
        <f t="shared" si="4"/>
        <v>일요일</v>
      </c>
      <c r="E121" s="2">
        <f>($L$5*B120)+(1-$L$5)*E120</f>
        <v>100.71680601042087</v>
      </c>
      <c r="F121" s="2">
        <f t="shared" si="5"/>
        <v>99.152923126982671</v>
      </c>
      <c r="G121" s="2">
        <f t="shared" si="6"/>
        <v>-3.2669634940195618</v>
      </c>
      <c r="H121" s="2">
        <f t="shared" si="7"/>
        <v>95.885959632963107</v>
      </c>
    </row>
    <row r="122" spans="1:8" x14ac:dyDescent="0.45">
      <c r="A122" s="1">
        <v>45047</v>
      </c>
      <c r="B122">
        <v>144</v>
      </c>
      <c r="C122" t="str">
        <f t="shared" si="4"/>
        <v>월요일</v>
      </c>
      <c r="E122" s="2">
        <f>($L$5*B121)+(1-$L$5)*E121</f>
        <v>95.401764207294605</v>
      </c>
      <c r="F122" s="2">
        <f t="shared" si="5"/>
        <v>110.32017174307416</v>
      </c>
      <c r="G122" s="2">
        <f t="shared" si="6"/>
        <v>1.063300139013752</v>
      </c>
      <c r="H122" s="2">
        <f t="shared" si="7"/>
        <v>111.3834718820879</v>
      </c>
    </row>
    <row r="123" spans="1:8" x14ac:dyDescent="0.45">
      <c r="A123" s="1">
        <v>45048</v>
      </c>
      <c r="B123">
        <v>133</v>
      </c>
      <c r="C123" t="str">
        <f t="shared" si="4"/>
        <v>화요일</v>
      </c>
      <c r="E123" s="2">
        <f>($L$5*B122)+(1-$L$5)*E122</f>
        <v>109.98123494510622</v>
      </c>
      <c r="F123" s="2">
        <f t="shared" si="5"/>
        <v>117.86843031746153</v>
      </c>
      <c r="G123" s="2">
        <f t="shared" si="6"/>
        <v>3.0087876696258391</v>
      </c>
      <c r="H123" s="2">
        <f t="shared" si="7"/>
        <v>120.87721798708736</v>
      </c>
    </row>
    <row r="124" spans="1:8" x14ac:dyDescent="0.45">
      <c r="A124" s="1">
        <v>45049</v>
      </c>
      <c r="B124">
        <v>136</v>
      </c>
      <c r="C124" t="str">
        <f t="shared" si="4"/>
        <v>수요일</v>
      </c>
      <c r="E124" s="2">
        <f>($L$5*B123)+(1-$L$5)*E123</f>
        <v>116.88686446157436</v>
      </c>
      <c r="F124" s="2">
        <f t="shared" si="5"/>
        <v>125.41405259096115</v>
      </c>
      <c r="G124" s="2">
        <f t="shared" si="6"/>
        <v>4.3698380507879726</v>
      </c>
      <c r="H124" s="2">
        <f t="shared" si="7"/>
        <v>129.78389064174911</v>
      </c>
    </row>
    <row r="125" spans="1:8" x14ac:dyDescent="0.45">
      <c r="A125" s="1">
        <v>45050</v>
      </c>
      <c r="B125">
        <v>139</v>
      </c>
      <c r="C125" t="str">
        <f t="shared" si="4"/>
        <v>목요일</v>
      </c>
      <c r="E125" s="2">
        <f>($L$5*B124)+(1-$L$5)*E124</f>
        <v>122.62080512310204</v>
      </c>
      <c r="F125" s="2">
        <f t="shared" si="5"/>
        <v>132.54872344922435</v>
      </c>
      <c r="G125" s="2">
        <f t="shared" si="6"/>
        <v>5.199287893030542</v>
      </c>
      <c r="H125" s="2">
        <f t="shared" si="7"/>
        <v>137.7480113422549</v>
      </c>
    </row>
    <row r="126" spans="1:8" x14ac:dyDescent="0.45">
      <c r="A126" s="1">
        <v>45051</v>
      </c>
      <c r="B126">
        <v>146</v>
      </c>
      <c r="C126" t="str">
        <f t="shared" si="4"/>
        <v>금요일</v>
      </c>
      <c r="E126" s="2">
        <f>($L$5*B125)+(1-$L$5)*E125</f>
        <v>127.53456358617143</v>
      </c>
      <c r="F126" s="2">
        <f t="shared" si="5"/>
        <v>140.22360793957841</v>
      </c>
      <c r="G126" s="2">
        <f t="shared" si="6"/>
        <v>5.9419668722275967</v>
      </c>
      <c r="H126" s="2">
        <f t="shared" si="7"/>
        <v>146.16557481180601</v>
      </c>
    </row>
    <row r="127" spans="1:8" x14ac:dyDescent="0.45">
      <c r="A127" s="1">
        <v>45052</v>
      </c>
      <c r="B127">
        <v>125</v>
      </c>
      <c r="C127" t="str">
        <f t="shared" si="4"/>
        <v>토요일</v>
      </c>
      <c r="E127" s="2">
        <f>($L$5*B126)+(1-$L$5)*E126</f>
        <v>133.07419451032001</v>
      </c>
      <c r="F127" s="2">
        <f t="shared" si="5"/>
        <v>139.8159023682642</v>
      </c>
      <c r="G127" s="2">
        <f t="shared" si="6"/>
        <v>4.0370651391650547</v>
      </c>
      <c r="H127" s="2">
        <f t="shared" si="7"/>
        <v>143.85296750742927</v>
      </c>
    </row>
    <row r="128" spans="1:8" x14ac:dyDescent="0.45">
      <c r="A128" s="1">
        <v>45053</v>
      </c>
      <c r="B128">
        <v>106</v>
      </c>
      <c r="C128" t="str">
        <f t="shared" si="4"/>
        <v>일요일</v>
      </c>
      <c r="E128" s="2">
        <f>($L$5*B127)+(1-$L$5)*E127</f>
        <v>130.65193615722399</v>
      </c>
      <c r="F128" s="2">
        <f t="shared" si="5"/>
        <v>132.49707725520048</v>
      </c>
      <c r="G128" s="2">
        <f t="shared" si="6"/>
        <v>0.63029806349642126</v>
      </c>
      <c r="H128" s="2">
        <f t="shared" si="7"/>
        <v>133.12737531869689</v>
      </c>
    </row>
    <row r="129" spans="1:8" x14ac:dyDescent="0.45">
      <c r="A129" s="1">
        <v>45054</v>
      </c>
      <c r="B129">
        <v>116</v>
      </c>
      <c r="C129" t="str">
        <f t="shared" si="4"/>
        <v>월요일</v>
      </c>
      <c r="E129" s="2">
        <f>($L$5*B128)+(1-$L$5)*E128</f>
        <v>123.25635531005678</v>
      </c>
      <c r="F129" s="2">
        <f t="shared" si="5"/>
        <v>127.98916272308782</v>
      </c>
      <c r="G129" s="2">
        <f t="shared" si="6"/>
        <v>-0.91116571518630451</v>
      </c>
      <c r="H129" s="2">
        <f t="shared" si="7"/>
        <v>127.07799700790152</v>
      </c>
    </row>
    <row r="130" spans="1:8" x14ac:dyDescent="0.45">
      <c r="A130" s="1">
        <v>45055</v>
      </c>
      <c r="B130">
        <v>122</v>
      </c>
      <c r="C130" t="str">
        <f t="shared" si="4"/>
        <v>화요일</v>
      </c>
      <c r="E130" s="2">
        <f>($L$5*B129)+(1-$L$5)*E129</f>
        <v>121.07944871703974</v>
      </c>
      <c r="F130" s="2">
        <f t="shared" si="5"/>
        <v>125.55459790553107</v>
      </c>
      <c r="G130" s="2">
        <f t="shared" si="6"/>
        <v>-1.3681854458974374</v>
      </c>
      <c r="H130" s="2">
        <f t="shared" si="7"/>
        <v>124.18641245963363</v>
      </c>
    </row>
    <row r="131" spans="1:8" x14ac:dyDescent="0.45">
      <c r="A131" s="1">
        <v>45056</v>
      </c>
      <c r="B131">
        <v>117</v>
      </c>
      <c r="C131" t="str">
        <f t="shared" ref="C131:C182" si="8">TEXT(A131, "aaaa")</f>
        <v>수요일</v>
      </c>
      <c r="E131" s="2">
        <f>($L$5*B130)+(1-$L$5)*E130</f>
        <v>121.35561410192781</v>
      </c>
      <c r="F131" s="2">
        <f t="shared" si="5"/>
        <v>122.03048872174352</v>
      </c>
      <c r="G131" s="2">
        <f t="shared" si="6"/>
        <v>-2.0149625672644693</v>
      </c>
      <c r="H131" s="2">
        <f t="shared" si="7"/>
        <v>120.01552615447905</v>
      </c>
    </row>
    <row r="132" spans="1:8" x14ac:dyDescent="0.45">
      <c r="A132" s="1">
        <v>45057</v>
      </c>
      <c r="B132">
        <v>111</v>
      </c>
      <c r="C132" t="str">
        <f t="shared" si="8"/>
        <v>목요일</v>
      </c>
      <c r="E132" s="2">
        <f>($L$5*B131)+(1-$L$5)*E131</f>
        <v>120.04892987134946</v>
      </c>
      <c r="F132" s="2">
        <f t="shared" ref="F132:F183" si="9">($L$5*B132)+(1-$L$5)*(F131+G131)</f>
        <v>117.31086830813533</v>
      </c>
      <c r="G132" s="2">
        <f t="shared" ref="G132:G183" si="10">($L$6*(F132-F131))+(1-$L$6)*G131</f>
        <v>-2.8263599211675876</v>
      </c>
      <c r="H132" s="2">
        <f t="shared" ref="H132:H183" si="11">F132+G132</f>
        <v>114.48450838696773</v>
      </c>
    </row>
    <row r="133" spans="1:8" x14ac:dyDescent="0.45">
      <c r="A133" s="1">
        <v>45058</v>
      </c>
      <c r="B133">
        <v>112</v>
      </c>
      <c r="C133" t="str">
        <f t="shared" si="8"/>
        <v>금요일</v>
      </c>
      <c r="E133" s="2">
        <f>($L$5*B132)+(1-$L$5)*E132</f>
        <v>117.33425090994461</v>
      </c>
      <c r="F133" s="2">
        <f t="shared" si="9"/>
        <v>113.7391558708774</v>
      </c>
      <c r="G133" s="2">
        <f t="shared" si="10"/>
        <v>-3.0499656759946898</v>
      </c>
      <c r="H133" s="2">
        <f t="shared" si="11"/>
        <v>110.68919019488271</v>
      </c>
    </row>
    <row r="134" spans="1:8" x14ac:dyDescent="0.45">
      <c r="A134" s="1">
        <v>45059</v>
      </c>
      <c r="B134">
        <v>131</v>
      </c>
      <c r="C134" t="str">
        <f t="shared" si="8"/>
        <v>토요일</v>
      </c>
      <c r="E134" s="2">
        <f>($L$5*B133)+(1-$L$5)*E133</f>
        <v>115.73397563696122</v>
      </c>
      <c r="F134" s="2">
        <f t="shared" si="9"/>
        <v>116.78243313641789</v>
      </c>
      <c r="G134" s="2">
        <f t="shared" si="10"/>
        <v>-1.2219927935341337</v>
      </c>
      <c r="H134" s="2">
        <f t="shared" si="11"/>
        <v>115.56044034288377</v>
      </c>
    </row>
    <row r="135" spans="1:8" x14ac:dyDescent="0.45">
      <c r="A135" s="1">
        <v>45060</v>
      </c>
      <c r="B135">
        <v>99</v>
      </c>
      <c r="C135" t="str">
        <f t="shared" si="8"/>
        <v>일요일</v>
      </c>
      <c r="E135" s="2">
        <f>($L$5*B134)+(1-$L$5)*E134</f>
        <v>120.31378294587284</v>
      </c>
      <c r="F135" s="2">
        <f t="shared" si="9"/>
        <v>110.59230824001864</v>
      </c>
      <c r="G135" s="2">
        <f t="shared" si="10"/>
        <v>-2.7124324243936697</v>
      </c>
      <c r="H135" s="2">
        <f t="shared" si="11"/>
        <v>107.87987581562497</v>
      </c>
    </row>
    <row r="136" spans="1:8" x14ac:dyDescent="0.45">
      <c r="A136" s="1">
        <v>45061</v>
      </c>
      <c r="B136">
        <v>154</v>
      </c>
      <c r="C136" t="str">
        <f t="shared" si="8"/>
        <v>월요일</v>
      </c>
      <c r="E136" s="2">
        <f>($L$5*B135)+(1-$L$5)*E135</f>
        <v>113.91964806211099</v>
      </c>
      <c r="F136" s="2">
        <f t="shared" si="9"/>
        <v>121.71591307093746</v>
      </c>
      <c r="G136" s="2">
        <f t="shared" si="10"/>
        <v>1.4383787522000777</v>
      </c>
      <c r="H136" s="2">
        <f t="shared" si="11"/>
        <v>123.15429182313754</v>
      </c>
    </row>
    <row r="137" spans="1:8" x14ac:dyDescent="0.45">
      <c r="A137" s="1">
        <v>45062</v>
      </c>
      <c r="B137">
        <v>133</v>
      </c>
      <c r="C137" t="str">
        <f t="shared" si="8"/>
        <v>화요일</v>
      </c>
      <c r="E137" s="2">
        <f>($L$5*B136)+(1-$L$5)*E136</f>
        <v>125.94375364347769</v>
      </c>
      <c r="F137" s="2">
        <f t="shared" si="9"/>
        <v>126.10800427619628</v>
      </c>
      <c r="G137" s="2">
        <f t="shared" si="10"/>
        <v>2.3244924881177011</v>
      </c>
      <c r="H137" s="2">
        <f t="shared" si="11"/>
        <v>128.43249676431398</v>
      </c>
    </row>
    <row r="138" spans="1:8" x14ac:dyDescent="0.45">
      <c r="A138" s="1">
        <v>45063</v>
      </c>
      <c r="B138">
        <v>107</v>
      </c>
      <c r="C138" t="str">
        <f t="shared" si="8"/>
        <v>수요일</v>
      </c>
      <c r="E138" s="2">
        <f>($L$5*B137)+(1-$L$5)*E137</f>
        <v>128.06062755043439</v>
      </c>
      <c r="F138" s="2">
        <f t="shared" si="9"/>
        <v>122.0027477350198</v>
      </c>
      <c r="G138" s="2">
        <f t="shared" si="10"/>
        <v>0.39556777932944454</v>
      </c>
      <c r="H138" s="2">
        <f t="shared" si="11"/>
        <v>122.39831551434924</v>
      </c>
    </row>
    <row r="139" spans="1:8" x14ac:dyDescent="0.45">
      <c r="A139" s="1">
        <v>45064</v>
      </c>
      <c r="B139">
        <v>163</v>
      </c>
      <c r="C139" t="str">
        <f t="shared" si="8"/>
        <v>목요일</v>
      </c>
      <c r="E139" s="2">
        <f>($L$5*B138)+(1-$L$5)*E138</f>
        <v>121.74243928530407</v>
      </c>
      <c r="F139" s="2">
        <f t="shared" si="9"/>
        <v>134.57882086004446</v>
      </c>
      <c r="G139" s="2">
        <f t="shared" si="10"/>
        <v>4.0497193830380098</v>
      </c>
      <c r="H139" s="2">
        <f t="shared" si="11"/>
        <v>138.62854024308245</v>
      </c>
    </row>
    <row r="140" spans="1:8" x14ac:dyDescent="0.45">
      <c r="A140" s="1">
        <v>45065</v>
      </c>
      <c r="B140">
        <v>124</v>
      </c>
      <c r="C140" t="str">
        <f t="shared" si="8"/>
        <v>금요일</v>
      </c>
      <c r="E140" s="2">
        <f>($L$5*B139)+(1-$L$5)*E139</f>
        <v>134.11970749971283</v>
      </c>
      <c r="F140" s="2">
        <f t="shared" si="9"/>
        <v>134.23997817015771</v>
      </c>
      <c r="G140" s="2">
        <f t="shared" si="10"/>
        <v>2.7331507611605828</v>
      </c>
      <c r="H140" s="2">
        <f t="shared" si="11"/>
        <v>136.97312893131829</v>
      </c>
    </row>
    <row r="141" spans="1:8" x14ac:dyDescent="0.45">
      <c r="A141" s="1">
        <v>45066</v>
      </c>
      <c r="B141">
        <v>104</v>
      </c>
      <c r="C141" t="str">
        <f t="shared" si="8"/>
        <v>토요일</v>
      </c>
      <c r="E141" s="2">
        <f>($L$5*B140)+(1-$L$5)*E140</f>
        <v>131.08379524979898</v>
      </c>
      <c r="F141" s="2">
        <f t="shared" si="9"/>
        <v>127.08119025192279</v>
      </c>
      <c r="G141" s="2">
        <f t="shared" si="10"/>
        <v>-0.23443084265806857</v>
      </c>
      <c r="H141" s="2">
        <f t="shared" si="11"/>
        <v>126.84675940926472</v>
      </c>
    </row>
    <row r="142" spans="1:8" x14ac:dyDescent="0.45">
      <c r="A142" s="1">
        <v>45067</v>
      </c>
      <c r="B142">
        <v>124</v>
      </c>
      <c r="C142" t="str">
        <f t="shared" si="8"/>
        <v>일요일</v>
      </c>
      <c r="E142" s="2">
        <f>($L$5*B141)+(1-$L$5)*E141</f>
        <v>122.95865667485928</v>
      </c>
      <c r="F142" s="2">
        <f t="shared" si="9"/>
        <v>125.99273158648529</v>
      </c>
      <c r="G142" s="2">
        <f t="shared" si="10"/>
        <v>-0.49063918949189794</v>
      </c>
      <c r="H142" s="2">
        <f t="shared" si="11"/>
        <v>125.50209239699339</v>
      </c>
    </row>
    <row r="143" spans="1:8" x14ac:dyDescent="0.45">
      <c r="A143" s="1">
        <v>45068</v>
      </c>
      <c r="B143">
        <v>123</v>
      </c>
      <c r="C143" t="str">
        <f t="shared" si="8"/>
        <v>월요일</v>
      </c>
      <c r="E143" s="2">
        <f>($L$5*B142)+(1-$L$5)*E142</f>
        <v>123.27105967240149</v>
      </c>
      <c r="F143" s="2">
        <f t="shared" si="9"/>
        <v>124.75146467789537</v>
      </c>
      <c r="G143" s="2">
        <f t="shared" si="10"/>
        <v>-0.71582750522130478</v>
      </c>
      <c r="H143" s="2">
        <f t="shared" si="11"/>
        <v>124.03563717267407</v>
      </c>
    </row>
    <row r="144" spans="1:8" x14ac:dyDescent="0.45">
      <c r="A144" s="1">
        <v>45069</v>
      </c>
      <c r="B144">
        <v>142</v>
      </c>
      <c r="C144" t="str">
        <f t="shared" si="8"/>
        <v>화요일</v>
      </c>
      <c r="E144" s="2">
        <f>($L$5*B143)+(1-$L$5)*E143</f>
        <v>123.18974177068102</v>
      </c>
      <c r="F144" s="2">
        <f t="shared" si="9"/>
        <v>129.42494602087186</v>
      </c>
      <c r="G144" s="2">
        <f t="shared" si="10"/>
        <v>0.90096514923803261</v>
      </c>
      <c r="H144" s="2">
        <f t="shared" si="11"/>
        <v>130.32591117010989</v>
      </c>
    </row>
    <row r="145" spans="1:8" x14ac:dyDescent="0.45">
      <c r="A145" s="1">
        <v>45070</v>
      </c>
      <c r="B145">
        <v>148</v>
      </c>
      <c r="C145" t="str">
        <f t="shared" si="8"/>
        <v>수요일</v>
      </c>
      <c r="E145" s="2">
        <f>($L$5*B144)+(1-$L$5)*E144</f>
        <v>128.83281923947672</v>
      </c>
      <c r="F145" s="2">
        <f t="shared" si="9"/>
        <v>135.62813781907693</v>
      </c>
      <c r="G145" s="2">
        <f t="shared" si="10"/>
        <v>2.4916331439281434</v>
      </c>
      <c r="H145" s="2">
        <f t="shared" si="11"/>
        <v>138.11977096300507</v>
      </c>
    </row>
    <row r="146" spans="1:8" x14ac:dyDescent="0.45">
      <c r="A146" s="1">
        <v>45071</v>
      </c>
      <c r="B146">
        <v>143</v>
      </c>
      <c r="C146" t="str">
        <f t="shared" si="8"/>
        <v>목요일</v>
      </c>
      <c r="E146" s="2">
        <f>($L$5*B145)+(1-$L$5)*E145</f>
        <v>134.58297346763371</v>
      </c>
      <c r="F146" s="2">
        <f t="shared" si="9"/>
        <v>139.58383967410353</v>
      </c>
      <c r="G146" s="2">
        <f t="shared" si="10"/>
        <v>2.9308537572576814</v>
      </c>
      <c r="H146" s="2">
        <f t="shared" si="11"/>
        <v>142.51469343136122</v>
      </c>
    </row>
    <row r="147" spans="1:8" x14ac:dyDescent="0.45">
      <c r="A147" s="1">
        <v>45072</v>
      </c>
      <c r="B147">
        <v>127</v>
      </c>
      <c r="C147" t="str">
        <f t="shared" si="8"/>
        <v>금요일</v>
      </c>
      <c r="E147" s="2">
        <f>($L$5*B146)+(1-$L$5)*E146</f>
        <v>137.10808142734359</v>
      </c>
      <c r="F147" s="2">
        <f t="shared" si="9"/>
        <v>137.86028540195286</v>
      </c>
      <c r="G147" s="2">
        <f t="shared" si="10"/>
        <v>1.5345313484351775</v>
      </c>
      <c r="H147" s="2">
        <f t="shared" si="11"/>
        <v>139.39481675038803</v>
      </c>
    </row>
    <row r="148" spans="1:8" x14ac:dyDescent="0.45">
      <c r="A148" s="1">
        <v>45073</v>
      </c>
      <c r="B148">
        <v>161</v>
      </c>
      <c r="C148" t="str">
        <f t="shared" si="8"/>
        <v>토요일</v>
      </c>
      <c r="E148" s="2">
        <f>($L$5*B147)+(1-$L$5)*E147</f>
        <v>134.07565699914051</v>
      </c>
      <c r="F148" s="2">
        <f t="shared" si="9"/>
        <v>145.87637172527161</v>
      </c>
      <c r="G148" s="2">
        <f t="shared" si="10"/>
        <v>3.4789978409002478</v>
      </c>
      <c r="H148" s="2">
        <f t="shared" si="11"/>
        <v>149.35536956617185</v>
      </c>
    </row>
    <row r="149" spans="1:8" x14ac:dyDescent="0.45">
      <c r="A149" s="1">
        <v>45074</v>
      </c>
      <c r="B149">
        <v>112</v>
      </c>
      <c r="C149" t="str">
        <f t="shared" si="8"/>
        <v>일요일</v>
      </c>
      <c r="E149" s="2">
        <f>($L$5*B148)+(1-$L$5)*E148</f>
        <v>142.15295989939835</v>
      </c>
      <c r="F149" s="2">
        <f t="shared" si="9"/>
        <v>138.1487586963203</v>
      </c>
      <c r="G149" s="2">
        <f t="shared" si="10"/>
        <v>0.11701457994477993</v>
      </c>
      <c r="H149" s="2">
        <f t="shared" si="11"/>
        <v>138.26577327626509</v>
      </c>
    </row>
    <row r="150" spans="1:8" x14ac:dyDescent="0.45">
      <c r="A150" s="1">
        <v>45075</v>
      </c>
      <c r="B150">
        <v>119</v>
      </c>
      <c r="C150" t="str">
        <f t="shared" si="8"/>
        <v>월요일</v>
      </c>
      <c r="E150" s="2">
        <f>($L$5*B149)+(1-$L$5)*E149</f>
        <v>133.10707192957884</v>
      </c>
      <c r="F150" s="2">
        <f t="shared" si="9"/>
        <v>132.48604129338557</v>
      </c>
      <c r="G150" s="2">
        <f t="shared" si="10"/>
        <v>-1.6169050149190736</v>
      </c>
      <c r="H150" s="2">
        <f t="shared" si="11"/>
        <v>130.8691362784665</v>
      </c>
    </row>
    <row r="151" spans="1:8" x14ac:dyDescent="0.45">
      <c r="A151" s="1">
        <v>45076</v>
      </c>
      <c r="B151">
        <v>118</v>
      </c>
      <c r="C151" t="str">
        <f t="shared" si="8"/>
        <v>화요일</v>
      </c>
      <c r="E151" s="2">
        <f>($L$5*B150)+(1-$L$5)*E150</f>
        <v>128.87495035070518</v>
      </c>
      <c r="F151" s="2">
        <f t="shared" si="9"/>
        <v>127.00839539492654</v>
      </c>
      <c r="G151" s="2">
        <f t="shared" si="10"/>
        <v>-2.7751272799810609</v>
      </c>
      <c r="H151" s="2">
        <f t="shared" si="11"/>
        <v>124.23326811494547</v>
      </c>
    </row>
    <row r="152" spans="1:8" x14ac:dyDescent="0.45">
      <c r="A152" s="1">
        <v>45077</v>
      </c>
      <c r="B152">
        <v>91</v>
      </c>
      <c r="C152" t="str">
        <f t="shared" si="8"/>
        <v>수요일</v>
      </c>
      <c r="E152" s="2">
        <f>($L$5*B151)+(1-$L$5)*E151</f>
        <v>125.61246524549361</v>
      </c>
      <c r="F152" s="2">
        <f t="shared" si="9"/>
        <v>114.26328768046183</v>
      </c>
      <c r="G152" s="2">
        <f t="shared" si="10"/>
        <v>-5.7661214103261553</v>
      </c>
      <c r="H152" s="2">
        <f t="shared" si="11"/>
        <v>108.49716627013568</v>
      </c>
    </row>
    <row r="153" spans="1:8" x14ac:dyDescent="0.45">
      <c r="A153" s="1">
        <v>45078</v>
      </c>
      <c r="B153">
        <v>153</v>
      </c>
      <c r="C153" t="str">
        <f t="shared" si="8"/>
        <v>목요일</v>
      </c>
      <c r="E153" s="2">
        <f>($L$5*B152)+(1-$L$5)*E152</f>
        <v>115.22872567184552</v>
      </c>
      <c r="F153" s="2">
        <f t="shared" si="9"/>
        <v>121.84801638909497</v>
      </c>
      <c r="G153" s="2">
        <f t="shared" si="10"/>
        <v>-1.7608663746383675</v>
      </c>
      <c r="H153" s="2">
        <f t="shared" si="11"/>
        <v>120.0871500144566</v>
      </c>
    </row>
    <row r="154" spans="1:8" x14ac:dyDescent="0.45">
      <c r="A154" s="1">
        <v>45079</v>
      </c>
      <c r="B154">
        <v>151</v>
      </c>
      <c r="C154" t="str">
        <f t="shared" si="8"/>
        <v>금요일</v>
      </c>
      <c r="E154" s="2">
        <f>($L$5*B153)+(1-$L$5)*E153</f>
        <v>126.56010797029185</v>
      </c>
      <c r="F154" s="2">
        <f t="shared" si="9"/>
        <v>129.36100501011961</v>
      </c>
      <c r="G154" s="2">
        <f t="shared" si="10"/>
        <v>1.0212901240605368</v>
      </c>
      <c r="H154" s="2">
        <f t="shared" si="11"/>
        <v>130.38229513418014</v>
      </c>
    </row>
    <row r="155" spans="1:8" x14ac:dyDescent="0.45">
      <c r="A155" s="1">
        <v>45080</v>
      </c>
      <c r="B155">
        <v>167</v>
      </c>
      <c r="C155" t="str">
        <f t="shared" si="8"/>
        <v>토요일</v>
      </c>
      <c r="E155" s="2">
        <f>($L$5*B154)+(1-$L$5)*E154</f>
        <v>133.89207557920429</v>
      </c>
      <c r="F155" s="2">
        <f t="shared" si="9"/>
        <v>141.3676065939261</v>
      </c>
      <c r="G155" s="2">
        <f t="shared" si="10"/>
        <v>4.3168835619843211</v>
      </c>
      <c r="H155" s="2">
        <f t="shared" si="11"/>
        <v>145.68449015591042</v>
      </c>
    </row>
    <row r="156" spans="1:8" x14ac:dyDescent="0.45">
      <c r="A156" s="1">
        <v>45081</v>
      </c>
      <c r="B156">
        <v>135</v>
      </c>
      <c r="C156" t="str">
        <f t="shared" si="8"/>
        <v>일요일</v>
      </c>
      <c r="E156" s="2">
        <f>($L$5*B155)+(1-$L$5)*E155</f>
        <v>143.824452905443</v>
      </c>
      <c r="F156" s="2">
        <f t="shared" si="9"/>
        <v>142.47914310913728</v>
      </c>
      <c r="G156" s="2">
        <f t="shared" si="10"/>
        <v>3.35527944795238</v>
      </c>
      <c r="H156" s="2">
        <f t="shared" si="11"/>
        <v>145.83442255708965</v>
      </c>
    </row>
    <row r="157" spans="1:8" x14ac:dyDescent="0.45">
      <c r="A157" s="1">
        <v>45082</v>
      </c>
      <c r="B157">
        <v>141</v>
      </c>
      <c r="C157" t="str">
        <f t="shared" si="8"/>
        <v>월요일</v>
      </c>
      <c r="E157" s="2">
        <f>($L$5*B156)+(1-$L$5)*E156</f>
        <v>141.17711703381008</v>
      </c>
      <c r="F157" s="2">
        <f t="shared" si="9"/>
        <v>144.38409578996274</v>
      </c>
      <c r="G157" s="2">
        <f t="shared" si="10"/>
        <v>2.9201814178143035</v>
      </c>
      <c r="H157" s="2">
        <f t="shared" si="11"/>
        <v>147.30427720777703</v>
      </c>
    </row>
    <row r="158" spans="1:8" x14ac:dyDescent="0.45">
      <c r="A158" s="1">
        <v>45083</v>
      </c>
      <c r="B158">
        <v>137</v>
      </c>
      <c r="C158" t="str">
        <f t="shared" si="8"/>
        <v>화요일</v>
      </c>
      <c r="E158" s="2">
        <f>($L$5*B157)+(1-$L$5)*E157</f>
        <v>141.12398192366703</v>
      </c>
      <c r="F158" s="2">
        <f t="shared" si="9"/>
        <v>144.21299404544391</v>
      </c>
      <c r="G158" s="2">
        <f t="shared" si="10"/>
        <v>1.9927964691143614</v>
      </c>
      <c r="H158" s="2">
        <f t="shared" si="11"/>
        <v>146.20579051455826</v>
      </c>
    </row>
    <row r="159" spans="1:8" x14ac:dyDescent="0.45">
      <c r="A159" s="1">
        <v>45084</v>
      </c>
      <c r="B159">
        <v>102</v>
      </c>
      <c r="C159" t="str">
        <f t="shared" si="8"/>
        <v>수요일</v>
      </c>
      <c r="E159" s="2">
        <f>($L$5*B158)+(1-$L$5)*E158</f>
        <v>139.8867873465669</v>
      </c>
      <c r="F159" s="2">
        <f t="shared" si="9"/>
        <v>132.94405336019076</v>
      </c>
      <c r="G159" s="2">
        <f t="shared" si="10"/>
        <v>-1.9857246771958899</v>
      </c>
      <c r="H159" s="2">
        <f t="shared" si="11"/>
        <v>130.95832868299487</v>
      </c>
    </row>
    <row r="160" spans="1:8" x14ac:dyDescent="0.45">
      <c r="A160" s="1">
        <v>45085</v>
      </c>
      <c r="B160">
        <v>124</v>
      </c>
      <c r="C160" t="str">
        <f t="shared" si="8"/>
        <v>목요일</v>
      </c>
      <c r="E160" s="2">
        <f>($L$5*B159)+(1-$L$5)*E159</f>
        <v>128.52075114259682</v>
      </c>
      <c r="F160" s="2">
        <f t="shared" si="9"/>
        <v>128.87083007809639</v>
      </c>
      <c r="G160" s="2">
        <f t="shared" si="10"/>
        <v>-2.6119742586654353</v>
      </c>
      <c r="H160" s="2">
        <f t="shared" si="11"/>
        <v>126.25885581943095</v>
      </c>
    </row>
    <row r="161" spans="1:8" x14ac:dyDescent="0.45">
      <c r="A161" s="1">
        <v>45086</v>
      </c>
      <c r="B161">
        <v>154</v>
      </c>
      <c r="C161" t="str">
        <f t="shared" si="8"/>
        <v>금요일</v>
      </c>
      <c r="E161" s="2">
        <f>($L$5*B160)+(1-$L$5)*E160</f>
        <v>127.16452579981777</v>
      </c>
      <c r="F161" s="2">
        <f t="shared" si="9"/>
        <v>134.58119907360165</v>
      </c>
      <c r="G161" s="2">
        <f t="shared" si="10"/>
        <v>-0.11527128241422568</v>
      </c>
      <c r="H161" s="2">
        <f t="shared" si="11"/>
        <v>134.46592779118743</v>
      </c>
    </row>
    <row r="162" spans="1:8" x14ac:dyDescent="0.45">
      <c r="A162" s="1">
        <v>45087</v>
      </c>
      <c r="B162">
        <v>110</v>
      </c>
      <c r="C162" t="str">
        <f t="shared" si="8"/>
        <v>토요일</v>
      </c>
      <c r="E162" s="2">
        <f>($L$5*B161)+(1-$L$5)*E161</f>
        <v>135.21516805987244</v>
      </c>
      <c r="F162" s="2">
        <f t="shared" si="9"/>
        <v>127.12614945383119</v>
      </c>
      <c r="G162" s="2">
        <f t="shared" si="10"/>
        <v>-2.3172047836210967</v>
      </c>
      <c r="H162" s="2">
        <f t="shared" si="11"/>
        <v>124.8089446702101</v>
      </c>
    </row>
    <row r="163" spans="1:8" x14ac:dyDescent="0.45">
      <c r="A163" s="1">
        <v>45088</v>
      </c>
      <c r="B163">
        <v>125</v>
      </c>
      <c r="C163" t="str">
        <f t="shared" si="8"/>
        <v>일요일</v>
      </c>
      <c r="E163" s="2">
        <f>($L$5*B162)+(1-$L$5)*E162</f>
        <v>127.6506176419107</v>
      </c>
      <c r="F163" s="2">
        <f t="shared" si="9"/>
        <v>124.86626126914706</v>
      </c>
      <c r="G163" s="2">
        <f t="shared" si="10"/>
        <v>-2.3000098039400063</v>
      </c>
      <c r="H163" s="2">
        <f t="shared" si="11"/>
        <v>122.56625146520706</v>
      </c>
    </row>
    <row r="164" spans="1:8" x14ac:dyDescent="0.45">
      <c r="A164" s="1">
        <v>45089</v>
      </c>
      <c r="B164">
        <v>124</v>
      </c>
      <c r="C164" t="str">
        <f t="shared" si="8"/>
        <v>월요일</v>
      </c>
      <c r="E164" s="2">
        <f>($L$5*B163)+(1-$L$5)*E163</f>
        <v>126.85543234933749</v>
      </c>
      <c r="F164" s="2">
        <f t="shared" si="9"/>
        <v>122.99637602564493</v>
      </c>
      <c r="G164" s="2">
        <f t="shared" si="10"/>
        <v>-2.170972435808642</v>
      </c>
      <c r="H164" s="2">
        <f t="shared" si="11"/>
        <v>120.8254035898363</v>
      </c>
    </row>
    <row r="165" spans="1:8" x14ac:dyDescent="0.45">
      <c r="A165" s="1">
        <v>45090</v>
      </c>
      <c r="B165">
        <v>153</v>
      </c>
      <c r="C165" t="str">
        <f t="shared" si="8"/>
        <v>화요일</v>
      </c>
      <c r="E165" s="2">
        <f>($L$5*B164)+(1-$L$5)*E164</f>
        <v>125.99880264453623</v>
      </c>
      <c r="F165" s="2">
        <f t="shared" si="9"/>
        <v>130.4777825128854</v>
      </c>
      <c r="G165" s="2">
        <f t="shared" si="10"/>
        <v>0.72474124110608962</v>
      </c>
      <c r="H165" s="2">
        <f t="shared" si="11"/>
        <v>131.2025237539915</v>
      </c>
    </row>
    <row r="166" spans="1:8" x14ac:dyDescent="0.45">
      <c r="A166" s="1">
        <v>45091</v>
      </c>
      <c r="B166">
        <v>104</v>
      </c>
      <c r="C166" t="str">
        <f t="shared" si="8"/>
        <v>수요일</v>
      </c>
      <c r="E166" s="2">
        <f>($L$5*B165)+(1-$L$5)*E165</f>
        <v>134.09916185117535</v>
      </c>
      <c r="F166" s="2">
        <f t="shared" si="9"/>
        <v>123.04176662779405</v>
      </c>
      <c r="G166" s="2">
        <f t="shared" si="10"/>
        <v>-1.7234858967531423</v>
      </c>
      <c r="H166" s="2">
        <f t="shared" si="11"/>
        <v>121.3182807310409</v>
      </c>
    </row>
    <row r="167" spans="1:8" x14ac:dyDescent="0.45">
      <c r="A167" s="1">
        <v>45092</v>
      </c>
      <c r="B167">
        <v>163</v>
      </c>
      <c r="C167" t="str">
        <f t="shared" si="8"/>
        <v>목요일</v>
      </c>
      <c r="E167" s="2">
        <f>($L$5*B166)+(1-$L$5)*E166</f>
        <v>125.06941329582274</v>
      </c>
      <c r="F167" s="2">
        <f t="shared" si="9"/>
        <v>133.82279651172863</v>
      </c>
      <c r="G167" s="2">
        <f t="shared" si="10"/>
        <v>2.0278688374531741</v>
      </c>
      <c r="H167" s="2">
        <f t="shared" si="11"/>
        <v>135.85066534918181</v>
      </c>
    </row>
    <row r="168" spans="1:8" x14ac:dyDescent="0.45">
      <c r="A168" s="1">
        <v>45093</v>
      </c>
      <c r="B168">
        <v>138</v>
      </c>
      <c r="C168" t="str">
        <f t="shared" si="8"/>
        <v>금요일</v>
      </c>
      <c r="E168" s="2">
        <f>($L$5*B167)+(1-$L$5)*E167</f>
        <v>136.44858930707591</v>
      </c>
      <c r="F168" s="2">
        <f t="shared" si="9"/>
        <v>136.49546574442726</v>
      </c>
      <c r="G168" s="2">
        <f t="shared" si="10"/>
        <v>2.2213089560268133</v>
      </c>
      <c r="H168" s="2">
        <f t="shared" si="11"/>
        <v>138.71677470045407</v>
      </c>
    </row>
    <row r="169" spans="1:8" x14ac:dyDescent="0.45">
      <c r="A169" s="1">
        <v>45094</v>
      </c>
      <c r="B169">
        <v>92</v>
      </c>
      <c r="C169" t="str">
        <f t="shared" si="8"/>
        <v>토요일</v>
      </c>
      <c r="E169" s="2">
        <f>($L$5*B168)+(1-$L$5)*E168</f>
        <v>136.91401251495313</v>
      </c>
      <c r="F169" s="2">
        <f t="shared" si="9"/>
        <v>124.70174229031784</v>
      </c>
      <c r="G169" s="2">
        <f t="shared" si="10"/>
        <v>-1.9832007670140583</v>
      </c>
      <c r="H169" s="2">
        <f t="shared" si="11"/>
        <v>122.71854152330378</v>
      </c>
    </row>
    <row r="170" spans="1:8" x14ac:dyDescent="0.45">
      <c r="A170" s="1">
        <v>45095</v>
      </c>
      <c r="B170">
        <v>167</v>
      </c>
      <c r="C170" t="str">
        <f t="shared" si="8"/>
        <v>일요일</v>
      </c>
      <c r="E170" s="2">
        <f>($L$5*B169)+(1-$L$5)*E169</f>
        <v>123.43980876046717</v>
      </c>
      <c r="F170" s="2">
        <f t="shared" si="9"/>
        <v>136.00297906631263</v>
      </c>
      <c r="G170" s="2">
        <f t="shared" si="10"/>
        <v>2.0021304958885975</v>
      </c>
      <c r="H170" s="2">
        <f t="shared" si="11"/>
        <v>138.00510956220123</v>
      </c>
    </row>
    <row r="171" spans="1:8" x14ac:dyDescent="0.45">
      <c r="A171" s="1">
        <v>45096</v>
      </c>
      <c r="B171">
        <v>150</v>
      </c>
      <c r="C171" t="str">
        <f t="shared" si="8"/>
        <v>월요일</v>
      </c>
      <c r="E171" s="2">
        <f>($L$5*B170)+(1-$L$5)*E170</f>
        <v>136.50786613232702</v>
      </c>
      <c r="F171" s="2">
        <f t="shared" si="9"/>
        <v>141.60357669354084</v>
      </c>
      <c r="G171" s="2">
        <f t="shared" si="10"/>
        <v>3.0816706352904815</v>
      </c>
      <c r="H171" s="2">
        <f t="shared" si="11"/>
        <v>144.68524732883134</v>
      </c>
    </row>
    <row r="172" spans="1:8" x14ac:dyDescent="0.45">
      <c r="A172" s="1">
        <v>45097</v>
      </c>
      <c r="B172">
        <v>119</v>
      </c>
      <c r="C172" t="str">
        <f t="shared" si="8"/>
        <v>화요일</v>
      </c>
      <c r="E172" s="2">
        <f>($L$5*B171)+(1-$L$5)*E171</f>
        <v>140.55550629262891</v>
      </c>
      <c r="F172" s="2">
        <f t="shared" si="9"/>
        <v>136.97967313018194</v>
      </c>
      <c r="G172" s="2">
        <f t="shared" si="10"/>
        <v>0.76999837569566454</v>
      </c>
      <c r="H172" s="2">
        <f t="shared" si="11"/>
        <v>137.74967150587761</v>
      </c>
    </row>
    <row r="173" spans="1:8" x14ac:dyDescent="0.45">
      <c r="A173" s="1">
        <v>45098</v>
      </c>
      <c r="B173">
        <v>127</v>
      </c>
      <c r="C173" t="str">
        <f t="shared" si="8"/>
        <v>수요일</v>
      </c>
      <c r="E173" s="2">
        <f>($L$5*B172)+(1-$L$5)*E172</f>
        <v>134.08885440484022</v>
      </c>
      <c r="F173" s="2">
        <f t="shared" si="9"/>
        <v>134.52477005411433</v>
      </c>
      <c r="G173" s="2">
        <f t="shared" si="10"/>
        <v>-0.19747205983331761</v>
      </c>
      <c r="H173" s="2">
        <f t="shared" si="11"/>
        <v>134.327297994281</v>
      </c>
    </row>
    <row r="174" spans="1:8" x14ac:dyDescent="0.45">
      <c r="A174" s="1">
        <v>45099</v>
      </c>
      <c r="B174">
        <v>151</v>
      </c>
      <c r="C174" t="str">
        <f t="shared" si="8"/>
        <v>목요일</v>
      </c>
      <c r="E174" s="2">
        <f>($L$5*B173)+(1-$L$5)*E173</f>
        <v>131.96219808338816</v>
      </c>
      <c r="F174" s="2">
        <f t="shared" si="9"/>
        <v>139.32910859599667</v>
      </c>
      <c r="G174" s="2">
        <f t="shared" si="10"/>
        <v>1.3030711206813812</v>
      </c>
      <c r="H174" s="2">
        <f t="shared" si="11"/>
        <v>140.63217971667805</v>
      </c>
    </row>
    <row r="175" spans="1:8" x14ac:dyDescent="0.45">
      <c r="A175" s="1">
        <v>45100</v>
      </c>
      <c r="B175">
        <v>135</v>
      </c>
      <c r="C175" t="str">
        <f t="shared" si="8"/>
        <v>금요일</v>
      </c>
      <c r="E175" s="2">
        <f>($L$5*B174)+(1-$L$5)*E174</f>
        <v>137.67353865837168</v>
      </c>
      <c r="F175" s="2">
        <f t="shared" si="9"/>
        <v>138.94252580167463</v>
      </c>
      <c r="G175" s="2">
        <f t="shared" si="10"/>
        <v>0.79617494618035534</v>
      </c>
      <c r="H175" s="2">
        <f t="shared" si="11"/>
        <v>139.73870074785498</v>
      </c>
    </row>
    <row r="176" spans="1:8" x14ac:dyDescent="0.45">
      <c r="A176" s="1">
        <v>45101</v>
      </c>
      <c r="B176">
        <v>170</v>
      </c>
      <c r="C176" t="str">
        <f t="shared" si="8"/>
        <v>토요일</v>
      </c>
      <c r="E176" s="2">
        <f>($L$5*B175)+(1-$L$5)*E175</f>
        <v>136.87147706086017</v>
      </c>
      <c r="F176" s="2">
        <f t="shared" si="9"/>
        <v>148.81709052349848</v>
      </c>
      <c r="G176" s="2">
        <f t="shared" si="10"/>
        <v>3.5196918788734024</v>
      </c>
      <c r="H176" s="2">
        <f t="shared" si="11"/>
        <v>152.33678240237188</v>
      </c>
    </row>
    <row r="177" spans="1:8" x14ac:dyDescent="0.45">
      <c r="A177" s="1">
        <v>45102</v>
      </c>
      <c r="B177">
        <v>151</v>
      </c>
      <c r="C177" t="str">
        <f t="shared" si="8"/>
        <v>일요일</v>
      </c>
      <c r="E177" s="2">
        <f>($L$5*B176)+(1-$L$5)*E176</f>
        <v>146.8100339426021</v>
      </c>
      <c r="F177" s="2">
        <f t="shared" si="9"/>
        <v>151.9357476816603</v>
      </c>
      <c r="G177" s="2">
        <f t="shared" si="10"/>
        <v>3.3993814626599286</v>
      </c>
      <c r="H177" s="2">
        <f t="shared" si="11"/>
        <v>155.33512914432023</v>
      </c>
    </row>
    <row r="178" spans="1:8" x14ac:dyDescent="0.45">
      <c r="A178" s="1">
        <v>45103</v>
      </c>
      <c r="B178">
        <v>140</v>
      </c>
      <c r="C178" t="str">
        <f t="shared" si="8"/>
        <v>월요일</v>
      </c>
      <c r="E178" s="2">
        <f>($L$5*B177)+(1-$L$5)*E177</f>
        <v>148.06702375982147</v>
      </c>
      <c r="F178" s="2">
        <f t="shared" si="9"/>
        <v>150.73459040102415</v>
      </c>
      <c r="G178" s="2">
        <f t="shared" si="10"/>
        <v>2.0192198396711043</v>
      </c>
      <c r="H178" s="2">
        <f t="shared" si="11"/>
        <v>152.75381024069526</v>
      </c>
    </row>
    <row r="179" spans="1:8" x14ac:dyDescent="0.45">
      <c r="A179" s="1">
        <v>45104</v>
      </c>
      <c r="B179">
        <v>167</v>
      </c>
      <c r="C179" t="str">
        <f t="shared" si="8"/>
        <v>화요일</v>
      </c>
      <c r="E179" s="2">
        <f>($L$5*B178)+(1-$L$5)*E178</f>
        <v>145.646916631875</v>
      </c>
      <c r="F179" s="2">
        <f t="shared" si="9"/>
        <v>157.02766716848669</v>
      </c>
      <c r="G179" s="2">
        <f t="shared" si="10"/>
        <v>3.3013769180085339</v>
      </c>
      <c r="H179" s="2">
        <f t="shared" si="11"/>
        <v>160.32904408649523</v>
      </c>
    </row>
    <row r="180" spans="1:8" x14ac:dyDescent="0.45">
      <c r="A180" s="1">
        <v>45105</v>
      </c>
      <c r="B180">
        <v>133</v>
      </c>
      <c r="C180" t="str">
        <f t="shared" si="8"/>
        <v>수요일</v>
      </c>
      <c r="E180" s="2">
        <f>($L$5*B179)+(1-$L$5)*E179</f>
        <v>152.0528416423125</v>
      </c>
      <c r="F180" s="2">
        <f t="shared" si="9"/>
        <v>152.13033086054665</v>
      </c>
      <c r="G180" s="2">
        <f t="shared" si="10"/>
        <v>0.84176295022396252</v>
      </c>
      <c r="H180" s="2">
        <f t="shared" si="11"/>
        <v>152.97209381077062</v>
      </c>
    </row>
    <row r="181" spans="1:8" x14ac:dyDescent="0.45">
      <c r="A181" s="1">
        <v>45106</v>
      </c>
      <c r="B181">
        <v>124</v>
      </c>
      <c r="C181" t="str">
        <f t="shared" si="8"/>
        <v>목요일</v>
      </c>
      <c r="E181" s="2">
        <f>($L$5*B180)+(1-$L$5)*E180</f>
        <v>146.33698914961874</v>
      </c>
      <c r="F181" s="2">
        <f t="shared" si="9"/>
        <v>144.28046566753943</v>
      </c>
      <c r="G181" s="2">
        <f t="shared" si="10"/>
        <v>-1.7657254927453918</v>
      </c>
      <c r="H181" s="2">
        <f t="shared" si="11"/>
        <v>142.51474017479404</v>
      </c>
    </row>
    <row r="182" spans="1:8" x14ac:dyDescent="0.45">
      <c r="A182" s="1">
        <v>45107</v>
      </c>
      <c r="B182">
        <v>114</v>
      </c>
      <c r="C182" t="str">
        <f t="shared" si="8"/>
        <v>금요일</v>
      </c>
      <c r="E182" s="2">
        <f>($L$5*B181)+(1-$L$5)*E181</f>
        <v>139.63589240473311</v>
      </c>
      <c r="F182" s="2">
        <f t="shared" si="9"/>
        <v>133.96031812235583</v>
      </c>
      <c r="G182" s="2">
        <f t="shared" si="10"/>
        <v>-4.3320521084768551</v>
      </c>
      <c r="H182" s="2">
        <f t="shared" si="11"/>
        <v>129.62826601387897</v>
      </c>
    </row>
    <row r="183" spans="1:8" x14ac:dyDescent="0.45">
      <c r="E183" s="2"/>
      <c r="F183" s="2"/>
      <c r="G183" s="2"/>
      <c r="H183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(학부생) 최주영 (산업공학과)</cp:lastModifiedBy>
  <dcterms:created xsi:type="dcterms:W3CDTF">2026-03-21T11:44:07Z</dcterms:created>
  <dcterms:modified xsi:type="dcterms:W3CDTF">2026-03-21T12:26:09Z</dcterms:modified>
</cp:coreProperties>
</file>